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llb\Documents\Planning Analytics\Model Based Workflow\"/>
    </mc:Choice>
  </mc:AlternateContent>
  <xr:revisionPtr revIDLastSave="0" documentId="8_{BCD18556-0FAD-4891-9C57-8F80C2435BC0}" xr6:coauthVersionLast="47" xr6:coauthVersionMax="47" xr10:uidLastSave="{00000000-0000-0000-0000-000000000000}"/>
  <bookViews>
    <workbookView xWindow="4620" yWindow="1725" windowWidth="32640" windowHeight="18780" tabRatio="498" firstSheet="1" activeTab="2" xr2:uid="{E924492A-B5DF-4FCA-A7FA-C31C0882DB72}"/>
  </bookViews>
  <sheets>
    <sheet name="Cognos_Office_Connection_Cache" sheetId="2" state="veryHidden" r:id="rId1"/>
    <sheet name="Workflows" sheetId="1" r:id="rId2"/>
    <sheet name="Assignments" sheetId="10" r:id="rId3"/>
    <sheet name="Errors" sheetId="8" r:id="rId4"/>
  </sheets>
  <definedNames>
    <definedName name="cafe_validation_temp" hidden="1">Cognos_Office_Connection_Cache!$B$2:$B$4</definedName>
    <definedName name="ID" localSheetId="2" hidden="1">"62d9cd7b-7e38-4a26-abc7-09f7f3b55f6a"</definedName>
    <definedName name="ID" localSheetId="0" hidden="1">"9e748f67-9201-407c-9f2b-b40454c1a072"</definedName>
    <definedName name="ID" localSheetId="3" hidden="1">"ef628fa9-c0ef-492f-aa3e-2c7c7c8ff255"</definedName>
    <definedName name="ID" localSheetId="1" hidden="1">"ad3d9cea-52ca-4f73-88a8-b4d8ee901bb9"</definedName>
    <definedName name="ID_1" localSheetId="2" hidden="1">"ad3d9cea-52ca-4f73-88a8-b4d8ee901bb9"</definedName>
    <definedName name="TM1RPTDATARNG1523228" localSheetId="3">Errors!$17:$17</definedName>
    <definedName name="TM1RPTDATARNG16328462" localSheetId="1">Workflows!$28:$28</definedName>
    <definedName name="TM1RPTDATARNG35193292" localSheetId="2">Assignments!$21:$27</definedName>
    <definedName name="TM1RPTFMTIDCOL1523228" localSheetId="3">Errors!$A$1:$A$10</definedName>
    <definedName name="TM1RPTFMTIDCOL16328462" localSheetId="1">Workflows!$B$1:$B$10</definedName>
    <definedName name="TM1RPTFMTIDCOL35193292" localSheetId="2">Assignments!$A$1:$A$10</definedName>
    <definedName name="TM1RPTFMTRNG1523228" localSheetId="3">Errors!$B$1:$G$10</definedName>
    <definedName name="TM1RPTFMTRNG16328462" localSheetId="1">Workflows!$C$1:$U$10</definedName>
    <definedName name="TM1RPTFMTRNG35193292" localSheetId="2">Assignments!$B$1:$H$10</definedName>
    <definedName name="TM1RPTQRYRNG1523228" localSheetId="3">Errors!$B$11</definedName>
    <definedName name="TM1RPTQRYRNG16328462" localSheetId="1">Workflows!$C$11</definedName>
    <definedName name="TM1RPTQRYRNG35193292" localSheetId="2">Assignments!$B$11:$C$11</definedName>
    <definedName name="TM1RPTVIEWRNG1523228" localSheetId="3">Errors!$B$12</definedName>
    <definedName name="TM1RPTVIEWRNG16328462" localSheetId="1">Workflows!$C$12</definedName>
    <definedName name="TM1RPTVIEWRNG35193292" localSheetId="2">Assignments!$B$12</definedName>
    <definedName name="tm2\\_tracked" localSheetId="2">Assignments!$C$15</definedName>
    <definedName name="tm2\\_tracked" localSheetId="1">Workflows!$I$15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9" i="1" l="1"/>
  <c r="B12" i="8"/>
  <c r="B17" i="8"/>
  <c r="A17" i="8"/>
  <c r="F17" i="8"/>
  <c r="E11" i="1"/>
  <c r="E12" i="1"/>
  <c r="C12" i="1"/>
  <c r="B28" i="1"/>
  <c r="C28" i="1"/>
  <c r="M28" i="1"/>
  <c r="N28" i="1"/>
  <c r="J28" i="1"/>
  <c r="P28" i="1"/>
  <c r="K28" i="1"/>
  <c r="G28" i="1"/>
  <c r="A24" i="10"/>
  <c r="A21" i="10"/>
  <c r="A23" i="10"/>
  <c r="A25" i="10"/>
  <c r="A22" i="10"/>
  <c r="C15" i="10"/>
  <c r="A27" i="10"/>
  <c r="A26" i="10"/>
  <c r="G11" i="10"/>
  <c r="E11" i="10"/>
  <c r="F11" i="10"/>
  <c r="E28" i="1"/>
  <c r="L28" i="1"/>
  <c r="Q28" i="1"/>
  <c r="U28" i="1"/>
  <c r="R28" i="1"/>
  <c r="I28" i="1"/>
  <c r="O28" i="1"/>
  <c r="S28" i="1"/>
  <c r="T28" i="1"/>
  <c r="H28" i="1"/>
  <c r="F28" i="1"/>
  <c r="C17" i="8"/>
  <c r="D17" i="8"/>
  <c r="E17" i="8"/>
  <c r="G17" i="8"/>
  <c r="F20" i="1"/>
  <c r="F21" i="1"/>
  <c r="F14" i="10" l="1"/>
  <c r="E14" i="10"/>
  <c r="C11" i="10"/>
  <c r="C20" i="10"/>
  <c r="F22" i="1"/>
  <c r="F23" i="1"/>
  <c r="F16" i="1"/>
  <c r="F17" i="1"/>
  <c r="D15" i="10"/>
  <c r="E15" i="10"/>
  <c r="F15" i="10"/>
  <c r="B12" i="10"/>
  <c r="B21" i="10"/>
  <c r="C21" i="10"/>
  <c r="H27" i="10"/>
  <c r="F26" i="10"/>
  <c r="E26" i="10"/>
  <c r="D26" i="10"/>
  <c r="G27" i="10"/>
  <c r="H26" i="10"/>
  <c r="F22" i="10"/>
  <c r="H25" i="10"/>
  <c r="D23" i="10"/>
  <c r="E27" i="10"/>
  <c r="H22" i="10"/>
  <c r="D27" i="10"/>
  <c r="G22" i="10"/>
  <c r="G26" i="10"/>
  <c r="D25" i="10"/>
  <c r="E22" i="10"/>
  <c r="D22" i="10"/>
  <c r="G24" i="10"/>
  <c r="E24" i="10"/>
  <c r="D24" i="10"/>
  <c r="F27" i="10"/>
  <c r="G25" i="10"/>
  <c r="E25" i="10"/>
  <c r="H24" i="10"/>
  <c r="F24" i="10"/>
  <c r="H23" i="10"/>
  <c r="G23" i="10"/>
  <c r="F23" i="10"/>
  <c r="F25" i="10"/>
  <c r="E23" i="10"/>
  <c r="G21" i="10"/>
  <c r="D21" i="10"/>
  <c r="H21" i="10"/>
  <c r="F21" i="10"/>
  <c r="E21" i="10"/>
</calcChain>
</file>

<file path=xl/sharedStrings.xml><?xml version="1.0" encoding="utf-8"?>
<sst xmlns="http://schemas.openxmlformats.org/spreadsheetml/2006/main" count="109" uniqueCount="53">
  <si>
    <t>[Begin Format Range]</t>
  </si>
  <si>
    <t>Default</t>
  </si>
  <si>
    <t>Leaf</t>
  </si>
  <si>
    <t>[End Format Range]</t>
  </si>
  <si>
    <t>Element Name</t>
  </si>
  <si>
    <t>{[}WF].[}WF].MEMBERS}</t>
  </si>
  <si>
    <t>Name</t>
  </si>
  <si>
    <t>Owner</t>
  </si>
  <si>
    <t>Created</t>
  </si>
  <si>
    <t>State Cube</t>
  </si>
  <si>
    <t>Input Cubes</t>
  </si>
  <si>
    <t>Dimension</t>
  </si>
  <si>
    <t>Hierarchy</t>
  </si>
  <si>
    <t>Subset</t>
  </si>
  <si>
    <t>State</t>
  </si>
  <si>
    <t>Security</t>
  </si>
  <si>
    <t>Security Mode</t>
  </si>
  <si>
    <t>Locking</t>
  </si>
  <si>
    <t>Control Dimension</t>
  </si>
  <si>
    <t>Control Hierarchy</t>
  </si>
  <si>
    <t>Control Member</t>
  </si>
  <si>
    <t>Comment Index</t>
  </si>
  <si>
    <t>Group Prefix</t>
  </si>
  <si>
    <t>}WF</t>
  </si>
  <si>
    <t>Delete Workflow</t>
  </si>
  <si>
    <t>Contributor</t>
  </si>
  <si>
    <t>Reviewer</t>
  </si>
  <si>
    <t>Last Update</t>
  </si>
  <si>
    <t>Lock</t>
  </si>
  <si>
    <t>{[}WF_Error_Lines].[}WF_Error_Lines].MEMBERS}</t>
  </si>
  <si>
    <t>Workflow</t>
  </si>
  <si>
    <t>Error</t>
  </si>
  <si>
    <t>Message</t>
  </si>
  <si>
    <t>DateTime</t>
  </si>
  <si>
    <t>User</t>
  </si>
  <si>
    <t>{TM1SubsetToSet([plan_business_unit].[plan_business_unit], "All Business Units")}</t>
  </si>
  <si>
    <t>Node</t>
  </si>
  <si>
    <t/>
  </si>
  <si>
    <t>Cell</t>
  </si>
  <si>
    <t>Element</t>
  </si>
  <si>
    <t>[Workflow Admin]Workflows'!F19</t>
  </si>
  <si>
    <t>pending__Workflow Admin:Assignments:TM1RPTDATARNG:35193292</t>
  </si>
  <si>
    <t>Forecast</t>
  </si>
  <si>
    <t>Workflow Name</t>
  </si>
  <si>
    <t>Select Approval Dimension</t>
  </si>
  <si>
    <t>Select Approval Subset</t>
  </si>
  <si>
    <t>Select Locking Mode</t>
  </si>
  <si>
    <t>Select Security Mode</t>
  </si>
  <si>
    <t>Select Security Level</t>
  </si>
  <si>
    <t>Add Workflow</t>
  </si>
  <si>
    <t>Cubes (common seperated list)</t>
  </si>
  <si>
    <t>Select Control Member</t>
  </si>
  <si>
    <t xml:space="preserve">Select Control Dimension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</si>
</sst>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-\ @"/>
    <numFmt numFmtId="165" formatCode="\+\ @"/>
  </numFmts>
  <fonts count="18" x14ac:knownFonts="1">
    <font>
      <sz val="11"/>
      <color theme="1"/>
      <name val="Aptos Narrow"/>
      <family val="2"/>
      <scheme val="minor"/>
    </font>
    <font>
      <b/>
      <sz val="10.5"/>
      <color rgb="FF165D81"/>
      <name val="Calibri"/>
      <family val="2"/>
    </font>
    <font>
      <b/>
      <sz val="10.5"/>
      <color theme="1" tint="0.2499465926084170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sz val="11"/>
      <name val="Aptos Narrow"/>
      <family val="2"/>
      <scheme val="minor"/>
    </font>
    <font>
      <b/>
      <sz val="10.5"/>
      <name val="Calibri"/>
      <family val="2"/>
    </font>
    <font>
      <b/>
      <sz val="1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</font>
    <font>
      <sz val="12"/>
      <color theme="4" tint="-0.24994659260841701"/>
      <name val="Aptos Narrow"/>
      <family val="2"/>
      <scheme val="minor"/>
    </font>
    <font>
      <sz val="12"/>
      <color theme="4" tint="-0.2499465926084170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BED7A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</borders>
  <cellStyleXfs count="74">
    <xf numFmtId="0" fontId="0" fillId="0" borderId="0"/>
    <xf numFmtId="0" fontId="1" fillId="0" borderId="1" applyNumberFormat="0" applyFill="0" applyProtection="0">
      <alignment horizontal="center" vertical="center"/>
    </xf>
    <xf numFmtId="3" fontId="2" fillId="0" borderId="2" applyFont="0" applyFill="0" applyAlignment="0" applyProtection="0"/>
    <xf numFmtId="3" fontId="2" fillId="0" borderId="2" applyFont="0" applyFill="0" applyAlignment="0" applyProtection="0"/>
    <xf numFmtId="3" fontId="2" fillId="0" borderId="2" applyFont="0" applyFill="0" applyAlignment="0" applyProtection="0"/>
    <xf numFmtId="3" fontId="2" fillId="0" borderId="2" applyFont="0" applyFill="0" applyAlignment="0" applyProtection="0"/>
    <xf numFmtId="3" fontId="2" fillId="0" borderId="2" applyFont="0" applyFill="0" applyAlignment="0" applyProtection="0"/>
    <xf numFmtId="3" fontId="2" fillId="0" borderId="2" applyFont="0" applyFill="0" applyAlignment="0" applyProtection="0"/>
    <xf numFmtId="3" fontId="2" fillId="0" borderId="2" applyFont="0" applyFill="0" applyAlignment="0" applyProtection="0"/>
    <xf numFmtId="3" fontId="2" fillId="0" borderId="2" applyFont="0" applyFill="0" applyAlignment="0" applyProtection="0"/>
    <xf numFmtId="3" fontId="1" fillId="0" borderId="1" applyNumberFormat="0" applyFill="0" applyAlignment="0" applyProtection="0"/>
    <xf numFmtId="0" fontId="1" fillId="0" borderId="1" applyNumberFormat="0" applyFill="0" applyAlignment="0" applyProtection="0"/>
    <xf numFmtId="3" fontId="1" fillId="0" borderId="1" applyNumberFormat="0" applyFill="0" applyAlignment="0" applyProtection="0"/>
    <xf numFmtId="0" fontId="1" fillId="0" borderId="1" applyNumberFormat="0" applyFill="0" applyAlignment="0" applyProtection="0"/>
    <xf numFmtId="0" fontId="1" fillId="0" borderId="1" applyNumberFormat="0" applyFill="0" applyAlignment="0" applyProtection="0"/>
    <xf numFmtId="0" fontId="1" fillId="0" borderId="1" applyNumberFormat="0" applyFill="0" applyAlignment="0" applyProtection="0"/>
    <xf numFmtId="0" fontId="1" fillId="0" borderId="1" applyNumberFormat="0" applyFill="0" applyAlignment="0" applyProtection="0"/>
    <xf numFmtId="0" fontId="1" fillId="0" borderId="1" applyNumberFormat="0" applyFill="0" applyAlignment="0" applyProtection="0"/>
    <xf numFmtId="3" fontId="2" fillId="0" borderId="0" applyNumberFormat="0" applyBorder="0" applyAlignment="0" applyProtection="0"/>
    <xf numFmtId="3" fontId="2" fillId="0" borderId="0" applyNumberFormat="0" applyBorder="0" applyAlignment="0" applyProtection="0"/>
    <xf numFmtId="3" fontId="2" fillId="0" borderId="0" applyNumberFormat="0" applyBorder="0" applyAlignment="0" applyProtection="0"/>
    <xf numFmtId="3" fontId="2" fillId="0" borderId="0" applyNumberFormat="0" applyBorder="0" applyAlignment="0" applyProtection="0"/>
    <xf numFmtId="3" fontId="2" fillId="0" borderId="0" applyNumberFormat="0" applyBorder="0" applyAlignment="0" applyProtection="0"/>
    <xf numFmtId="3" fontId="2" fillId="0" borderId="2" applyNumberFormat="0" applyBorder="0" applyAlignment="0" applyProtection="0"/>
    <xf numFmtId="3" fontId="2" fillId="0" borderId="2" applyNumberFormat="0" applyBorder="0" applyAlignment="0" applyProtection="0"/>
    <xf numFmtId="3" fontId="2" fillId="0" borderId="2" applyNumberFormat="0" applyBorder="0" applyAlignment="0" applyProtection="0"/>
    <xf numFmtId="0" fontId="2" fillId="0" borderId="2" applyNumberFormat="0" applyFill="0" applyAlignment="0" applyProtection="0"/>
    <xf numFmtId="0" fontId="2" fillId="0" borderId="2" applyNumberFormat="0" applyFill="0" applyAlignment="0" applyProtection="0"/>
    <xf numFmtId="0" fontId="2" fillId="0" borderId="2">
      <alignment horizontal="right" vertical="center"/>
    </xf>
    <xf numFmtId="3" fontId="2" fillId="2" borderId="2">
      <alignment horizontal="center" vertical="center"/>
    </xf>
    <xf numFmtId="0" fontId="2" fillId="2" borderId="2">
      <alignment horizontal="right" vertical="center"/>
    </xf>
    <xf numFmtId="0" fontId="1" fillId="0" borderId="3">
      <alignment horizontal="left" vertical="center"/>
    </xf>
    <xf numFmtId="0" fontId="1" fillId="0" borderId="4">
      <alignment horizontal="center" vertical="center"/>
    </xf>
    <xf numFmtId="0" fontId="3" fillId="0" borderId="5">
      <alignment horizontal="center" vertical="center"/>
    </xf>
    <xf numFmtId="0" fontId="2" fillId="3" borderId="2"/>
    <xf numFmtId="3" fontId="1" fillId="0" borderId="1" applyFill="0" applyAlignment="0" applyProtection="0"/>
    <xf numFmtId="3" fontId="1" fillId="0" borderId="1" applyFill="0" applyAlignment="0" applyProtection="0"/>
    <xf numFmtId="3" fontId="1" fillId="0" borderId="1" applyFill="0" applyAlignment="0" applyProtection="0"/>
    <xf numFmtId="3" fontId="1" fillId="0" borderId="1" applyFill="0" applyAlignment="0" applyProtection="0"/>
    <xf numFmtId="0" fontId="1" fillId="0" borderId="1" applyFill="0" applyAlignment="0" applyProtection="0"/>
    <xf numFmtId="3" fontId="1" fillId="0" borderId="1" applyFill="0" applyAlignment="0" applyProtection="0"/>
    <xf numFmtId="0" fontId="1" fillId="0" borderId="4">
      <alignment horizontal="center" vertical="center"/>
    </xf>
    <xf numFmtId="0" fontId="1" fillId="0" borderId="4">
      <alignment horizontal="center" vertical="center"/>
    </xf>
    <xf numFmtId="3" fontId="2" fillId="0" borderId="2" applyFont="0" applyFill="0" applyAlignment="0" applyProtection="0"/>
    <xf numFmtId="0" fontId="2" fillId="0" borderId="2" applyFill="0" applyAlignment="0" applyProtection="0"/>
    <xf numFmtId="0" fontId="1" fillId="0" borderId="1" applyFill="0" applyAlignment="0" applyProtection="0"/>
    <xf numFmtId="3" fontId="1" fillId="0" borderId="1" applyFill="0" applyAlignment="0" applyProtection="0"/>
    <xf numFmtId="0" fontId="1" fillId="0" borderId="1" applyFill="0" applyAlignment="0" applyProtection="0"/>
    <xf numFmtId="0" fontId="1" fillId="0" borderId="1" applyFill="0" applyAlignment="0" applyProtection="0"/>
    <xf numFmtId="0" fontId="1" fillId="0" borderId="1" applyFill="0" applyAlignment="0" applyProtection="0"/>
    <xf numFmtId="0" fontId="1" fillId="0" borderId="1" applyFill="0" applyAlignment="0" applyProtection="0"/>
    <xf numFmtId="0" fontId="1" fillId="0" borderId="3">
      <alignment horizontal="left" vertical="center"/>
    </xf>
    <xf numFmtId="3" fontId="1" fillId="0" borderId="1" applyFill="0" applyAlignment="0" applyProtection="0"/>
    <xf numFmtId="3" fontId="4" fillId="0" borderId="2"/>
    <xf numFmtId="3" fontId="5" fillId="0" borderId="2"/>
    <xf numFmtId="0" fontId="1" fillId="0" borderId="4">
      <alignment horizontal="left" vertical="top"/>
    </xf>
    <xf numFmtId="0" fontId="6" fillId="0" borderId="2"/>
    <xf numFmtId="0" fontId="1" fillId="0" borderId="4">
      <alignment horizontal="left" vertical="center"/>
    </xf>
    <xf numFmtId="0" fontId="2" fillId="2" borderId="6"/>
    <xf numFmtId="3" fontId="2" fillId="0" borderId="2">
      <alignment horizontal="right" vertical="center"/>
    </xf>
    <xf numFmtId="0" fontId="1" fillId="0" borderId="4">
      <alignment horizontal="right" vertical="center"/>
    </xf>
    <xf numFmtId="0" fontId="2" fillId="0" borderId="5">
      <alignment horizontal="center" vertical="center"/>
    </xf>
    <xf numFmtId="3" fontId="2" fillId="0" borderId="2"/>
    <xf numFmtId="3" fontId="2" fillId="0" borderId="2"/>
    <xf numFmtId="0" fontId="2" fillId="0" borderId="5">
      <alignment horizontal="center" vertical="center" wrapText="1"/>
    </xf>
    <xf numFmtId="0" fontId="7" fillId="0" borderId="5">
      <alignment horizontal="left" vertical="center" indent="1"/>
    </xf>
    <xf numFmtId="0" fontId="8" fillId="0" borderId="2"/>
    <xf numFmtId="0" fontId="1" fillId="0" borderId="3">
      <alignment horizontal="left" vertical="center"/>
    </xf>
    <xf numFmtId="3" fontId="2" fillId="0" borderId="2">
      <alignment horizontal="center" vertical="center"/>
    </xf>
    <xf numFmtId="0" fontId="1" fillId="0" borderId="4">
      <alignment horizontal="center" vertical="center"/>
    </xf>
    <xf numFmtId="0" fontId="1" fillId="0" borderId="4">
      <alignment horizontal="center" vertical="center"/>
    </xf>
    <xf numFmtId="0" fontId="1" fillId="0" borderId="3">
      <alignment horizontal="left" vertical="center"/>
    </xf>
    <xf numFmtId="0" fontId="1" fillId="0" borderId="3">
      <alignment horizontal="left" vertical="center"/>
    </xf>
    <xf numFmtId="0" fontId="9" fillId="0" borderId="2"/>
  </cellStyleXfs>
  <cellXfs count="116">
    <xf numFmtId="0" fontId="0" fillId="0" borderId="0" xfId="0"/>
    <xf numFmtId="0" fontId="0" fillId="0" borderId="0" xfId="0" quotePrefix="1"/>
    <xf numFmtId="0" fontId="2" fillId="0" borderId="0" xfId="19" applyNumberFormat="1"/>
    <xf numFmtId="0" fontId="1" fillId="0" borderId="1" xfId="11" applyNumberFormat="1"/>
    <xf numFmtId="3" fontId="2" fillId="0" borderId="2" xfId="3"/>
    <xf numFmtId="0" fontId="2" fillId="0" borderId="0" xfId="20" applyNumberFormat="1"/>
    <xf numFmtId="0" fontId="1" fillId="0" borderId="1" xfId="12" applyNumberFormat="1"/>
    <xf numFmtId="3" fontId="2" fillId="0" borderId="2" xfId="4"/>
    <xf numFmtId="0" fontId="2" fillId="0" borderId="0" xfId="21" applyNumberFormat="1"/>
    <xf numFmtId="0" fontId="1" fillId="0" borderId="1" xfId="13" applyNumberFormat="1"/>
    <xf numFmtId="3" fontId="2" fillId="0" borderId="2" xfId="5"/>
    <xf numFmtId="0" fontId="2" fillId="0" borderId="0" xfId="22" applyNumberFormat="1"/>
    <xf numFmtId="0" fontId="1" fillId="0" borderId="1" xfId="14" applyNumberFormat="1"/>
    <xf numFmtId="3" fontId="2" fillId="0" borderId="2" xfId="6"/>
    <xf numFmtId="0" fontId="2" fillId="0" borderId="0" xfId="23" applyNumberFormat="1" applyBorder="1"/>
    <xf numFmtId="0" fontId="1" fillId="0" borderId="1" xfId="15" applyNumberFormat="1"/>
    <xf numFmtId="3" fontId="2" fillId="0" borderId="2" xfId="7"/>
    <xf numFmtId="0" fontId="2" fillId="0" borderId="0" xfId="24" applyNumberFormat="1" applyBorder="1"/>
    <xf numFmtId="0" fontId="1" fillId="0" borderId="1" xfId="16" applyNumberFormat="1"/>
    <xf numFmtId="3" fontId="2" fillId="0" borderId="2" xfId="8"/>
    <xf numFmtId="0" fontId="2" fillId="0" borderId="0" xfId="18" quotePrefix="1" applyNumberFormat="1"/>
    <xf numFmtId="0" fontId="2" fillId="0" borderId="0" xfId="18" applyNumberFormat="1"/>
    <xf numFmtId="0" fontId="1" fillId="0" borderId="1" xfId="10" applyNumberFormat="1"/>
    <xf numFmtId="3" fontId="2" fillId="0" borderId="2" xfId="2"/>
    <xf numFmtId="0" fontId="2" fillId="0" borderId="0" xfId="25" quotePrefix="1" applyNumberFormat="1" applyBorder="1"/>
    <xf numFmtId="0" fontId="2" fillId="0" borderId="0" xfId="25" applyNumberFormat="1" applyBorder="1"/>
    <xf numFmtId="0" fontId="1" fillId="0" borderId="1" xfId="17" applyNumberFormat="1"/>
    <xf numFmtId="3" fontId="2" fillId="0" borderId="2" xfId="9"/>
    <xf numFmtId="0" fontId="1" fillId="0" borderId="1" xfId="1" quotePrefix="1">
      <alignment horizontal="center" vertical="center"/>
    </xf>
    <xf numFmtId="49" fontId="1" fillId="0" borderId="1" xfId="17" applyNumberFormat="1" applyAlignment="1"/>
    <xf numFmtId="0" fontId="10" fillId="0" borderId="0" xfId="0" quotePrefix="1" applyFont="1"/>
    <xf numFmtId="0" fontId="10" fillId="0" borderId="0" xfId="0" applyFont="1"/>
    <xf numFmtId="0" fontId="11" fillId="0" borderId="0" xfId="19" applyNumberFormat="1" applyFont="1"/>
    <xf numFmtId="0" fontId="11" fillId="0" borderId="1" xfId="11" applyNumberFormat="1" applyFont="1"/>
    <xf numFmtId="3" fontId="11" fillId="0" borderId="2" xfId="3" applyFont="1"/>
    <xf numFmtId="0" fontId="11" fillId="0" borderId="0" xfId="20" applyNumberFormat="1" applyFont="1"/>
    <xf numFmtId="0" fontId="11" fillId="0" borderId="1" xfId="12" applyNumberFormat="1" applyFont="1"/>
    <xf numFmtId="3" fontId="11" fillId="0" borderId="2" xfId="4" applyFont="1"/>
    <xf numFmtId="0" fontId="11" fillId="0" borderId="0" xfId="21" applyNumberFormat="1" applyFont="1"/>
    <xf numFmtId="0" fontId="11" fillId="0" borderId="1" xfId="13" applyNumberFormat="1" applyFont="1"/>
    <xf numFmtId="3" fontId="11" fillId="0" borderId="2" xfId="5" applyFont="1"/>
    <xf numFmtId="0" fontId="11" fillId="0" borderId="0" xfId="22" applyNumberFormat="1" applyFont="1"/>
    <xf numFmtId="0" fontId="11" fillId="0" borderId="1" xfId="14" applyNumberFormat="1" applyFont="1"/>
    <xf numFmtId="3" fontId="11" fillId="0" borderId="2" xfId="6" applyFont="1"/>
    <xf numFmtId="0" fontId="11" fillId="0" borderId="0" xfId="23" applyNumberFormat="1" applyFont="1" applyBorder="1"/>
    <xf numFmtId="0" fontId="11" fillId="0" borderId="1" xfId="15" applyNumberFormat="1" applyFont="1"/>
    <xf numFmtId="3" fontId="11" fillId="0" borderId="2" xfId="7" applyFont="1"/>
    <xf numFmtId="0" fontId="11" fillId="0" borderId="0" xfId="24" applyNumberFormat="1" applyFont="1" applyBorder="1"/>
    <xf numFmtId="0" fontId="11" fillId="0" borderId="1" xfId="16" applyNumberFormat="1" applyFont="1"/>
    <xf numFmtId="3" fontId="11" fillId="0" borderId="2" xfId="8" applyFont="1"/>
    <xf numFmtId="0" fontId="11" fillId="0" borderId="0" xfId="18" quotePrefix="1" applyNumberFormat="1" applyFont="1"/>
    <xf numFmtId="0" fontId="11" fillId="0" borderId="1" xfId="10" applyNumberFormat="1" applyFont="1"/>
    <xf numFmtId="3" fontId="11" fillId="0" borderId="2" xfId="2" applyFont="1"/>
    <xf numFmtId="0" fontId="11" fillId="0" borderId="0" xfId="18" applyNumberFormat="1" applyFont="1"/>
    <xf numFmtId="0" fontId="11" fillId="0" borderId="0" xfId="25" quotePrefix="1" applyNumberFormat="1" applyFont="1" applyBorder="1"/>
    <xf numFmtId="0" fontId="11" fillId="0" borderId="1" xfId="17" applyNumberFormat="1" applyFont="1"/>
    <xf numFmtId="3" fontId="11" fillId="0" borderId="2" xfId="9" applyFont="1"/>
    <xf numFmtId="0" fontId="11" fillId="0" borderId="0" xfId="25" applyNumberFormat="1" applyFont="1" applyBorder="1"/>
    <xf numFmtId="0" fontId="12" fillId="0" borderId="7" xfId="0" applyFont="1" applyBorder="1" applyAlignment="1">
      <alignment horizontal="right"/>
    </xf>
    <xf numFmtId="0" fontId="12" fillId="0" borderId="9" xfId="0" applyFont="1" applyBorder="1" applyAlignment="1">
      <alignment horizontal="right"/>
    </xf>
    <xf numFmtId="0" fontId="10" fillId="0" borderId="10" xfId="0" applyFont="1" applyBorder="1"/>
    <xf numFmtId="0" fontId="10" fillId="0" borderId="12" xfId="0" applyFont="1" applyBorder="1"/>
    <xf numFmtId="0" fontId="11" fillId="0" borderId="1" xfId="1" quotePrefix="1" applyFont="1">
      <alignment horizontal="center" vertical="center"/>
    </xf>
    <xf numFmtId="49" fontId="11" fillId="0" borderId="1" xfId="17" applyNumberFormat="1" applyFont="1" applyAlignment="1"/>
    <xf numFmtId="0" fontId="13" fillId="0" borderId="0" xfId="0" quotePrefix="1" applyFont="1"/>
    <xf numFmtId="0" fontId="10" fillId="0" borderId="7" xfId="0" applyFont="1" applyBorder="1"/>
    <xf numFmtId="0" fontId="10" fillId="0" borderId="13" xfId="0" applyFont="1" applyBorder="1"/>
    <xf numFmtId="0" fontId="10" fillId="0" borderId="8" xfId="0" applyFont="1" applyBorder="1"/>
    <xf numFmtId="0" fontId="13" fillId="0" borderId="0" xfId="0" applyFont="1"/>
    <xf numFmtId="0" fontId="10" fillId="0" borderId="11" xfId="0" applyFont="1" applyBorder="1"/>
    <xf numFmtId="0" fontId="10" fillId="0" borderId="14" xfId="0" applyFont="1" applyBorder="1"/>
    <xf numFmtId="0" fontId="10" fillId="0" borderId="9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4" xfId="0" applyBorder="1"/>
    <xf numFmtId="0" fontId="0" fillId="0" borderId="12" xfId="0" applyBorder="1"/>
    <xf numFmtId="0" fontId="10" fillId="0" borderId="10" xfId="0" applyFont="1" applyBorder="1" applyAlignment="1">
      <alignment horizontal="center"/>
    </xf>
    <xf numFmtId="0" fontId="10" fillId="4" borderId="8" xfId="0" applyFont="1" applyFill="1" applyBorder="1" applyAlignment="1">
      <alignment horizontal="center"/>
    </xf>
    <xf numFmtId="3" fontId="2" fillId="0" borderId="0" xfId="3" applyBorder="1" applyAlignment="1">
      <alignment horizontal="center"/>
    </xf>
    <xf numFmtId="3" fontId="2" fillId="0" borderId="0" xfId="4" applyBorder="1" applyAlignment="1">
      <alignment horizontal="center"/>
    </xf>
    <xf numFmtId="3" fontId="2" fillId="0" borderId="0" xfId="5" applyBorder="1" applyAlignment="1">
      <alignment horizontal="center"/>
    </xf>
    <xf numFmtId="3" fontId="2" fillId="0" borderId="0" xfId="6" applyBorder="1" applyAlignment="1">
      <alignment horizontal="center"/>
    </xf>
    <xf numFmtId="3" fontId="2" fillId="0" borderId="0" xfId="7" applyBorder="1" applyAlignment="1">
      <alignment horizontal="center"/>
    </xf>
    <xf numFmtId="3" fontId="2" fillId="0" borderId="0" xfId="8" applyBorder="1" applyAlignment="1">
      <alignment horizontal="center"/>
    </xf>
    <xf numFmtId="3" fontId="2" fillId="0" borderId="0" xfId="2" applyBorder="1" applyAlignment="1">
      <alignment horizontal="center"/>
    </xf>
    <xf numFmtId="3" fontId="2" fillId="0" borderId="0" xfId="9" applyBorder="1" applyAlignment="1">
      <alignment horizontal="center"/>
    </xf>
    <xf numFmtId="0" fontId="1" fillId="0" borderId="0" xfId="11" applyNumberFormat="1" applyBorder="1"/>
    <xf numFmtId="0" fontId="1" fillId="0" borderId="0" xfId="12" applyNumberFormat="1" applyBorder="1"/>
    <xf numFmtId="0" fontId="1" fillId="0" borderId="0" xfId="13" applyNumberFormat="1" applyBorder="1"/>
    <xf numFmtId="0" fontId="1" fillId="0" borderId="0" xfId="14" applyNumberFormat="1" applyBorder="1"/>
    <xf numFmtId="0" fontId="1" fillId="0" borderId="0" xfId="15" applyNumberFormat="1" applyBorder="1"/>
    <xf numFmtId="0" fontId="1" fillId="0" borderId="0" xfId="16" applyNumberFormat="1" applyBorder="1"/>
    <xf numFmtId="0" fontId="1" fillId="0" borderId="0" xfId="10" applyNumberFormat="1" applyBorder="1"/>
    <xf numFmtId="0" fontId="1" fillId="0" borderId="0" xfId="17" applyNumberFormat="1" applyBorder="1"/>
    <xf numFmtId="164" fontId="1" fillId="0" borderId="0" xfId="17" applyNumberFormat="1" applyBorder="1" applyAlignment="1"/>
    <xf numFmtId="49" fontId="1" fillId="0" borderId="0" xfId="17" applyNumberFormat="1" applyBorder="1" applyAlignment="1"/>
    <xf numFmtId="0" fontId="16" fillId="0" borderId="0" xfId="0" applyFont="1"/>
    <xf numFmtId="0" fontId="17" fillId="0" borderId="0" xfId="1" quotePrefix="1" applyFont="1" applyBorder="1">
      <alignment horizontal="center" vertical="center"/>
    </xf>
    <xf numFmtId="164" fontId="1" fillId="0" borderId="0" xfId="17" quotePrefix="1" applyNumberFormat="1" applyBorder="1" applyAlignment="1">
      <alignment horizontal="left" indent="1"/>
    </xf>
    <xf numFmtId="49" fontId="1" fillId="0" borderId="0" xfId="17" quotePrefix="1" applyNumberFormat="1" applyBorder="1" applyAlignment="1">
      <alignment horizontal="left" indent="2"/>
    </xf>
    <xf numFmtId="165" fontId="1" fillId="0" borderId="0" xfId="17" quotePrefix="1" applyNumberFormat="1" applyBorder="1" applyAlignment="1">
      <alignment horizontal="left" indent="1"/>
    </xf>
    <xf numFmtId="49" fontId="1" fillId="0" borderId="0" xfId="17" quotePrefix="1" applyNumberFormat="1" applyBorder="1" applyAlignment="1">
      <alignment horizontal="left" indent="1"/>
    </xf>
    <xf numFmtId="49" fontId="1" fillId="0" borderId="0" xfId="17" quotePrefix="1" applyNumberFormat="1" applyBorder="1" applyAlignment="1"/>
    <xf numFmtId="0" fontId="15" fillId="4" borderId="9" xfId="0" applyFont="1" applyFill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8" xfId="0" applyFont="1" applyBorder="1" applyAlignment="1">
      <alignment horizontal="center"/>
    </xf>
    <xf numFmtId="0" fontId="10" fillId="4" borderId="10" xfId="0" quotePrefix="1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10" fillId="0" borderId="0" xfId="0" applyFont="1" applyBorder="1"/>
    <xf numFmtId="0" fontId="10" fillId="4" borderId="10" xfId="0" applyNumberFormat="1" applyFont="1" applyFill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10" xfId="0" applyFill="1" applyBorder="1" applyAlignment="1">
      <alignment horizontal="center"/>
    </xf>
  </cellXfs>
  <cellStyles count="74">
    <cellStyle name="AF Column - IBM Cognos" xfId="1" xr:uid="{998DC629-5417-4FF7-87EE-D34D429B3760}"/>
    <cellStyle name="AF Data - IBM Cognos" xfId="2" xr:uid="{98D0C167-058D-4634-874B-E5D90264B08F}"/>
    <cellStyle name="AF Data 0 - IBM Cognos" xfId="3" xr:uid="{9A7FBDC4-2F5D-43F9-B712-9B3C0C1F012B}"/>
    <cellStyle name="AF Data 1 - IBM Cognos" xfId="4" xr:uid="{73A7D22E-CA3E-4594-AF96-279AA8E4AA02}"/>
    <cellStyle name="AF Data 2 - IBM Cognos" xfId="5" xr:uid="{558A58CF-5A61-4C1E-A23B-0269EBB44803}"/>
    <cellStyle name="AF Data 3 - IBM Cognos" xfId="6" xr:uid="{E3B2D379-F84E-4DAA-BFCE-67D4B09471BB}"/>
    <cellStyle name="AF Data 4 - IBM Cognos" xfId="7" xr:uid="{7A8E886B-ACF3-4C94-B532-7536A98B177E}"/>
    <cellStyle name="AF Data 5 - IBM Cognos" xfId="8" xr:uid="{BC489AE9-9208-4EB5-B40C-33DA794B5589}"/>
    <cellStyle name="AF Data Leaf - IBM Cognos" xfId="9" xr:uid="{423B4AA3-B189-494F-BE4E-69E8BE9F966E}"/>
    <cellStyle name="AF Header - IBM Cognos" xfId="10" xr:uid="{78AC6168-A013-4CD4-A98D-17947CA382A4}"/>
    <cellStyle name="AF Header 0 - IBM Cognos" xfId="11" xr:uid="{E90E97EA-FE78-4B2A-AA4A-EB428D433241}"/>
    <cellStyle name="AF Header 1 - IBM Cognos" xfId="12" xr:uid="{20457064-4BE1-4FE3-918C-D321C154C1C4}"/>
    <cellStyle name="AF Header 2 - IBM Cognos" xfId="13" xr:uid="{F84EAE73-235E-4E8C-939C-0EB9EA78E2D8}"/>
    <cellStyle name="AF Header 3 - IBM Cognos" xfId="14" xr:uid="{6235C088-9778-4A1C-969B-4FB55DEB2D85}"/>
    <cellStyle name="AF Header 4 - IBM Cognos" xfId="15" xr:uid="{73D7241A-7237-4F16-B252-080947A88FA6}"/>
    <cellStyle name="AF Header 5 - IBM Cognos" xfId="16" xr:uid="{724B80C0-E104-4B94-82BF-8803D42170AC}"/>
    <cellStyle name="AF Header Leaf - IBM Cognos" xfId="17" xr:uid="{E2CD7C58-A28D-4476-AA55-5701E05F7271}"/>
    <cellStyle name="AF Row - IBM Cognos" xfId="18" xr:uid="{D135B0C7-5073-4C9F-A5BA-E0565169F86C}"/>
    <cellStyle name="AF Row 0 - IBM Cognos" xfId="19" xr:uid="{E62093DE-AA65-4E40-AAC9-5639602AC16B}"/>
    <cellStyle name="AF Row 1 - IBM Cognos" xfId="20" xr:uid="{32A4E3D5-C8AC-4B44-BBBC-82865EE25770}"/>
    <cellStyle name="AF Row 2 - IBM Cognos" xfId="21" xr:uid="{568BE894-6DDA-4D09-9D2E-EFEE8EAF7E2B}"/>
    <cellStyle name="AF Row 3 - IBM Cognos" xfId="22" xr:uid="{8D7F5340-75AB-4D07-81D1-C3029117ED8A}"/>
    <cellStyle name="AF Row 4 - IBM Cognos" xfId="23" xr:uid="{93DDE8EB-6437-462A-9E90-EFC974C1D376}"/>
    <cellStyle name="AF Row 5 - IBM Cognos" xfId="24" xr:uid="{D80D5EBB-D8B6-44B0-BF72-E23C5F752A08}"/>
    <cellStyle name="AF Row Leaf - IBM Cognos" xfId="25" xr:uid="{409CC674-CB79-424A-B764-BAFE14BE1C01}"/>
    <cellStyle name="AF Subnm - IBM Cognos" xfId="26" xr:uid="{5F86E4FD-D3ED-44AD-8F43-D3201AA9FDF2}"/>
    <cellStyle name="AF Title - IBM Cognos" xfId="27" xr:uid="{88EC8D8F-8A00-4794-9416-EF18AD1DA4BD}"/>
    <cellStyle name="Calculated Column - IBM Cognos" xfId="28" xr:uid="{3EFD264A-44C7-46D5-9ED1-2D0E4C8CDE92}"/>
    <cellStyle name="Calculated Column Name - IBM Cognos" xfId="29" xr:uid="{01F4C8B4-E89C-404A-8D96-F6407D91D612}"/>
    <cellStyle name="Calculated Row - IBM Cognos" xfId="30" xr:uid="{9732ED20-2198-446F-98AA-33D9154A62E8}"/>
    <cellStyle name="Calculated Row Name - IBM Cognos" xfId="31" xr:uid="{D731EC02-682F-4166-BFE5-8B9C8DD53966}"/>
    <cellStyle name="Column Name - IBM Cognos" xfId="32" xr:uid="{44EDCD30-8783-4605-8532-5E340F229196}"/>
    <cellStyle name="Column Template - IBM Cognos" xfId="33" xr:uid="{29A68171-1191-4B76-A51D-406029CF0C53}"/>
    <cellStyle name="Differs From Base - IBM Cognos" xfId="34" xr:uid="{D50D2D3A-362F-496E-95AC-0D2EC6ABC24C}"/>
    <cellStyle name="DQR Column 0 - IBM Cognos" xfId="35" xr:uid="{95CB9B1D-B4E4-43C7-B678-B48159755424}"/>
    <cellStyle name="DQR Column 1 - IBM Cognos" xfId="36" xr:uid="{936E1FC6-0338-44F3-BCF8-308B6A7FB1BF}"/>
    <cellStyle name="DQR Column 2 - IBM Cognos" xfId="37" xr:uid="{9230346B-9245-4017-860B-590CB791D636}"/>
    <cellStyle name="DQR Column 3 - IBM Cognos" xfId="38" xr:uid="{C5B2DD51-148F-4D12-A8C4-CBD5882C144A}"/>
    <cellStyle name="DQR Column 4 - IBM Cognos" xfId="39" xr:uid="{C643B5D6-BED0-4FA2-A796-4661C081AC89}"/>
    <cellStyle name="DQR Column 5 - IBM Cognos" xfId="40" xr:uid="{1667122D-A071-478A-A5DB-3867B45C3188}"/>
    <cellStyle name="DQR Column Default - IBM Cognos" xfId="41" xr:uid="{43141D76-41D4-4FC7-8DF8-AFBC5D4EACF4}"/>
    <cellStyle name="DQR Column Leaf - IBM Cognos" xfId="42" xr:uid="{5AFCAA21-C3D2-4325-8DE1-16033461B7CC}"/>
    <cellStyle name="DQR Data Default - IBM Cognos" xfId="43" xr:uid="{8A939883-C3F5-4F13-93BA-D7268A3D7760}"/>
    <cellStyle name="DQR Default - IBM Cognos" xfId="44" xr:uid="{2BAB876C-FFB4-4874-9FE2-440E245C4F09}"/>
    <cellStyle name="DQR Row 0 - IBM Cognos" xfId="45" xr:uid="{1B0DC016-7DB8-4870-9861-6CCFBDD162DB}"/>
    <cellStyle name="DQR Row 1 - IBM Cognos" xfId="46" xr:uid="{708F0C6F-C6D5-4A3E-AEBA-FE92243064D0}"/>
    <cellStyle name="DQR Row 2 - IBM Cognos" xfId="47" xr:uid="{C53AAE97-897F-462E-9293-45E9A26953A8}"/>
    <cellStyle name="DQR Row 3 - IBM Cognos" xfId="48" xr:uid="{C720AC27-B565-42A7-8C0F-84BD9FDD8D54}"/>
    <cellStyle name="DQR Row 4 - IBM Cognos" xfId="49" xr:uid="{A42D1167-D984-440E-B3BF-58CA0766AFD8}"/>
    <cellStyle name="DQR Row 5 - IBM Cognos" xfId="50" xr:uid="{6E91F4B0-70A3-4B82-8151-2A59308C6BC1}"/>
    <cellStyle name="DQR Row Default - IBM Cognos" xfId="51" xr:uid="{7F6DFC69-2BC3-4E02-937C-182B11CEF9DA}"/>
    <cellStyle name="DQR Row Leaf - IBM Cognos" xfId="52" xr:uid="{1017C436-859E-4209-A0AF-5729F0C989E2}"/>
    <cellStyle name="Edit - IBM Cognos" xfId="53" xr:uid="{D8E57AB3-05AC-49CF-9D48-723DBAEB9CC9}"/>
    <cellStyle name="Formula - IBM Cognos" xfId="54" xr:uid="{DB78188D-3FE2-4B2B-852B-9687E57A4C2E}"/>
    <cellStyle name="Group Name - IBM Cognos" xfId="55" xr:uid="{93D882AC-0131-4680-8F41-97FE6368F873}"/>
    <cellStyle name="Hold Values - IBM Cognos" xfId="56" xr:uid="{2BF11561-A958-473B-A697-71C6DC5C37AD}"/>
    <cellStyle name="List Name - IBM Cognos" xfId="57" xr:uid="{7F08BE60-C05C-409D-ADB4-DC65A85C0A70}"/>
    <cellStyle name="Locked - IBM Cognos" xfId="58" xr:uid="{7C900A62-2970-44FA-8383-879DB87172C8}"/>
    <cellStyle name="Measure - IBM Cognos" xfId="59" xr:uid="{DF275598-9EE3-449F-B71D-F20AC5C42121}"/>
    <cellStyle name="Measure Header - IBM Cognos" xfId="60" xr:uid="{ED2A62E6-9E21-4F43-B7AC-784703888758}"/>
    <cellStyle name="Measure Name - IBM Cognos" xfId="61" xr:uid="{F8D560DD-CB21-4FEC-8847-E5F07604DC4D}"/>
    <cellStyle name="Measure Summary - IBM Cognos" xfId="62" xr:uid="{51B8E0B9-8EB9-4696-B7C7-687619083E7A}"/>
    <cellStyle name="Measure Summary TM1 - IBM Cognos" xfId="63" xr:uid="{035A828C-7A3A-46A7-9E7C-FB9077146631}"/>
    <cellStyle name="Measure Template - IBM Cognos" xfId="64" xr:uid="{BB8AF185-C368-4C29-8A8D-40208D679BC8}"/>
    <cellStyle name="More - IBM Cognos" xfId="65" xr:uid="{68C3C699-FBBB-4231-B4B5-E48C66FF8747}"/>
    <cellStyle name="Normal" xfId="0" builtinId="0" customBuiltin="1"/>
    <cellStyle name="Pending Change - IBM Cognos" xfId="66" xr:uid="{3CC97938-A646-411C-8868-2AABC951AA59}"/>
    <cellStyle name="Row Name - IBM Cognos" xfId="67" xr:uid="{A3FD3224-D1CE-4FAF-95D0-93E45958E12E}"/>
    <cellStyle name="Row Template - IBM Cognos" xfId="68" xr:uid="{0938CDBC-48BF-47F9-B96F-83041EB60D3B}"/>
    <cellStyle name="Summary Column Name - IBM Cognos" xfId="69" xr:uid="{FA10A8C0-44E9-461D-8438-6BFD0898C208}"/>
    <cellStyle name="Summary Column Name TM1 - IBM Cognos" xfId="70" xr:uid="{8475CD1C-9B4E-425C-A09E-F15F6873DFE4}"/>
    <cellStyle name="Summary Row Name - IBM Cognos" xfId="71" xr:uid="{0C349069-A840-42BA-BF8A-D9F2ADF16155}"/>
    <cellStyle name="Summary Row Name TM1 - IBM Cognos" xfId="72" xr:uid="{96C3A053-1541-4C45-BF0C-E1E2104C069D}"/>
    <cellStyle name="Unsaved Change - IBM Cognos" xfId="73" xr:uid="{FF61EA79-11B0-4055-B53A-C317AC4E9BA5}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271461</xdr:colOff>
      <xdr:row>23</xdr:row>
      <xdr:rowOff>76200</xdr:rowOff>
    </xdr:from>
    <xdr:to>
      <xdr:col>5</xdr:col>
      <xdr:colOff>1771650</xdr:colOff>
      <xdr:row>24</xdr:row>
      <xdr:rowOff>119063</xdr:rowOff>
    </xdr:to>
    <xdr:sp macro="[0]!Sheet2.ExecuteAction_f5538a43_d5d7_4479_91c8_7e01c2daac46" textlink="">
      <xdr:nvSpPr>
        <xdr:cNvPr id="2" name="TM1Button_f5538a43_d5d7_4479_91c8_7e01c2daac46">
          <a:extLst>
            <a:ext uri="{FF2B5EF4-FFF2-40B4-BE49-F238E27FC236}">
              <a16:creationId xmlns:a16="http://schemas.microsoft.com/office/drawing/2014/main" id="{112AD041-7D2E-3361-8FFD-48FEB20B7E0F}"/>
            </a:ext>
          </a:extLst>
        </xdr:cNvPr>
        <xdr:cNvSpPr txBox="1"/>
      </xdr:nvSpPr>
      <xdr:spPr>
        <a:xfrm>
          <a:off x="390524" y="2209800"/>
          <a:ext cx="4176714" cy="271463"/>
        </a:xfrm>
        <a:prstGeom prst="rect">
          <a:avLst/>
        </a:prstGeom>
        <a:solidFill>
          <a:srgbClr val="F0F0F0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US" sz="1000" b="0" i="0" u="none" strike="noStrike">
              <a:solidFill>
                <a:srgbClr val="000000"/>
              </a:solidFill>
              <a:latin typeface="Arial" panose="020B0604020202020204" pitchFamily="34" charset="0"/>
            </a:rPr>
            <a:t>Create Workflow</a:t>
          </a:r>
        </a:p>
      </xdr:txBody>
    </xdr:sp>
    <xdr:clientData/>
  </xdr:twoCellAnchor>
  <xdr:twoCellAnchor editAs="oneCell">
    <xdr:from>
      <xdr:col>7</xdr:col>
      <xdr:colOff>604837</xdr:colOff>
      <xdr:row>15</xdr:row>
      <xdr:rowOff>90489</xdr:rowOff>
    </xdr:from>
    <xdr:to>
      <xdr:col>8</xdr:col>
      <xdr:colOff>2152650</xdr:colOff>
      <xdr:row>17</xdr:row>
      <xdr:rowOff>61913</xdr:rowOff>
    </xdr:to>
    <xdr:sp macro="[0]!Sheet2.ExecuteAction_2c7e5dbe_206f_42b3_8cd7_7931b3fbe54d" textlink="">
      <xdr:nvSpPr>
        <xdr:cNvPr id="3" name="TM1Button_2c7e5dbe_206f_42b3_8cd7_7931b3fbe54d">
          <a:extLst>
            <a:ext uri="{FF2B5EF4-FFF2-40B4-BE49-F238E27FC236}">
              <a16:creationId xmlns:a16="http://schemas.microsoft.com/office/drawing/2014/main" id="{D1F9E542-6FA4-B0CA-7D1C-711D3FD1D88F}"/>
            </a:ext>
          </a:extLst>
        </xdr:cNvPr>
        <xdr:cNvSpPr txBox="1"/>
      </xdr:nvSpPr>
      <xdr:spPr>
        <a:xfrm>
          <a:off x="7105650" y="923927"/>
          <a:ext cx="3019425" cy="319086"/>
        </a:xfrm>
        <a:prstGeom prst="rect">
          <a:avLst/>
        </a:prstGeom>
        <a:solidFill>
          <a:srgbClr val="F0F0F0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US" sz="1000" b="0" i="0" u="none" strike="noStrike">
              <a:solidFill>
                <a:srgbClr val="000000"/>
              </a:solidFill>
              <a:latin typeface="Arial" panose="020B0604020202020204" pitchFamily="34" charset="0"/>
            </a:rPr>
            <a:t>Delete Workflow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71438</xdr:colOff>
      <xdr:row>15</xdr:row>
      <xdr:rowOff>47623</xdr:rowOff>
    </xdr:from>
    <xdr:to>
      <xdr:col>3</xdr:col>
      <xdr:colOff>400051</xdr:colOff>
      <xdr:row>16</xdr:row>
      <xdr:rowOff>128586</xdr:rowOff>
    </xdr:to>
    <xdr:sp macro="[0]!Sheet3.ExecuteAction_fb11154f_076b_45ab_8c6e_155e2288f0e3" textlink="">
      <xdr:nvSpPr>
        <xdr:cNvPr id="2" name="TM1Button_fb11154f_076b_45ab_8c6e_155e2288f0e3">
          <a:extLst>
            <a:ext uri="{FF2B5EF4-FFF2-40B4-BE49-F238E27FC236}">
              <a16:creationId xmlns:a16="http://schemas.microsoft.com/office/drawing/2014/main" id="{91941B24-099E-4BD3-86D2-9CE5DC741CB5}"/>
            </a:ext>
          </a:extLst>
        </xdr:cNvPr>
        <xdr:cNvSpPr txBox="1"/>
      </xdr:nvSpPr>
      <xdr:spPr>
        <a:xfrm>
          <a:off x="1147763" y="576261"/>
          <a:ext cx="1933576" cy="252413"/>
        </a:xfrm>
        <a:prstGeom prst="rect">
          <a:avLst/>
        </a:prstGeom>
        <a:solidFill>
          <a:srgbClr val="F0F0F0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US" sz="1000" b="0" i="0" u="none" strike="noStrike">
              <a:solidFill>
                <a:srgbClr val="000000"/>
              </a:solidFill>
              <a:latin typeface="Arial" panose="020B0604020202020204" pitchFamily="34" charset="0"/>
            </a:rPr>
            <a:t>Assign</a:t>
          </a:r>
        </a:p>
      </xdr:txBody>
    </xdr:sp>
    <xdr:clientData/>
  </xdr:twoCellAnchor>
  <xdr:twoCellAnchor editAs="oneCell">
    <xdr:from>
      <xdr:col>4</xdr:col>
      <xdr:colOff>261937</xdr:colOff>
      <xdr:row>15</xdr:row>
      <xdr:rowOff>28575</xdr:rowOff>
    </xdr:from>
    <xdr:to>
      <xdr:col>4</xdr:col>
      <xdr:colOff>1962150</xdr:colOff>
      <xdr:row>16</xdr:row>
      <xdr:rowOff>109538</xdr:rowOff>
    </xdr:to>
    <xdr:sp macro="[0]!Sheet3.ExecuteAction_78c60d2f_eb8c_440f_ac14_aa2793cf5a32" textlink="">
      <xdr:nvSpPr>
        <xdr:cNvPr id="3" name="TM1Button_78c60d2f_eb8c_440f_ac14_aa2793cf5a32">
          <a:extLst>
            <a:ext uri="{FF2B5EF4-FFF2-40B4-BE49-F238E27FC236}">
              <a16:creationId xmlns:a16="http://schemas.microsoft.com/office/drawing/2014/main" id="{A7B4FB40-8806-4E5C-8434-306B3B3B6271}"/>
            </a:ext>
          </a:extLst>
        </xdr:cNvPr>
        <xdr:cNvSpPr txBox="1"/>
      </xdr:nvSpPr>
      <xdr:spPr>
        <a:xfrm>
          <a:off x="4243387" y="619125"/>
          <a:ext cx="1700213" cy="271463"/>
        </a:xfrm>
        <a:prstGeom prst="rect">
          <a:avLst/>
        </a:prstGeom>
        <a:solidFill>
          <a:srgbClr val="F0F0F0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US" sz="1000" b="0" i="0" u="none" strike="noStrike">
              <a:solidFill>
                <a:srgbClr val="000000"/>
              </a:solidFill>
              <a:latin typeface="Arial" panose="020B0604020202020204" pitchFamily="34" charset="0"/>
            </a:rPr>
            <a:t>Remove selected</a:t>
          </a:r>
        </a:p>
      </xdr:txBody>
    </xdr:sp>
    <xdr:clientData/>
  </xdr:twoCellAnchor>
  <xdr:twoCellAnchor editAs="oneCell">
    <xdr:from>
      <xdr:col>5</xdr:col>
      <xdr:colOff>76200</xdr:colOff>
      <xdr:row>15</xdr:row>
      <xdr:rowOff>19050</xdr:rowOff>
    </xdr:from>
    <xdr:to>
      <xdr:col>5</xdr:col>
      <xdr:colOff>1962150</xdr:colOff>
      <xdr:row>16</xdr:row>
      <xdr:rowOff>123825</xdr:rowOff>
    </xdr:to>
    <xdr:sp macro="[0]!Sheet3.ExecuteAction_3338662c_0c5a_4a1e_ac61_febedec3ef6b" textlink="">
      <xdr:nvSpPr>
        <xdr:cNvPr id="4" name="TM1Button_3338662c_0c5a_4a1e_ac61_febedec3ef6b">
          <a:extLst>
            <a:ext uri="{FF2B5EF4-FFF2-40B4-BE49-F238E27FC236}">
              <a16:creationId xmlns:a16="http://schemas.microsoft.com/office/drawing/2014/main" id="{CC471F35-2A1D-82FB-F500-916657157520}"/>
            </a:ext>
          </a:extLst>
        </xdr:cNvPr>
        <xdr:cNvSpPr txBox="1"/>
      </xdr:nvSpPr>
      <xdr:spPr>
        <a:xfrm>
          <a:off x="6162675" y="609600"/>
          <a:ext cx="1885950" cy="295275"/>
        </a:xfrm>
        <a:prstGeom prst="rect">
          <a:avLst/>
        </a:prstGeom>
        <a:solidFill>
          <a:srgbClr val="F0F0F0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US" sz="1000" b="0" i="0" u="none" strike="noStrike">
              <a:solidFill>
                <a:srgbClr val="000000"/>
              </a:solidFill>
              <a:latin typeface="Arial" panose="020B0604020202020204" pitchFamily="34" charset="0"/>
            </a:rPr>
            <a:t>Remove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12</xdr:row>
      <xdr:rowOff>171449</xdr:rowOff>
    </xdr:from>
    <xdr:to>
      <xdr:col>4</xdr:col>
      <xdr:colOff>0</xdr:colOff>
      <xdr:row>14</xdr:row>
      <xdr:rowOff>100012</xdr:rowOff>
    </xdr:to>
    <xdr:sp macro="[0]!Sheet5.ExecuteAction_1e768f69_508b_4652_9d10_b5387eef449d" textlink="">
      <xdr:nvSpPr>
        <xdr:cNvPr id="2" name="TM1Button_1e768f69_508b_4652_9d10_b5387eef449d">
          <a:extLst>
            <a:ext uri="{FF2B5EF4-FFF2-40B4-BE49-F238E27FC236}">
              <a16:creationId xmlns:a16="http://schemas.microsoft.com/office/drawing/2014/main" id="{3D80E07F-6E67-4942-A038-47E96D3CB6F4}"/>
            </a:ext>
          </a:extLst>
        </xdr:cNvPr>
        <xdr:cNvSpPr txBox="1"/>
      </xdr:nvSpPr>
      <xdr:spPr>
        <a:xfrm>
          <a:off x="542925" y="171449"/>
          <a:ext cx="3376613" cy="271463"/>
        </a:xfrm>
        <a:prstGeom prst="rect">
          <a:avLst/>
        </a:prstGeom>
        <a:solidFill>
          <a:srgbClr val="F0F0F0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US" sz="1000" b="0" i="0" u="none" strike="noStrike">
              <a:solidFill>
                <a:srgbClr val="000000"/>
              </a:solidFill>
              <a:latin typeface="Arial" panose="020B060402020202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=@TM1RPTROW($B$12,%22Stuart:%22%20&amp;%20$F$11,,,,FALSE,B$11)" TargetMode="External"/><Relationship Id="rId13" Type="http://schemas.openxmlformats.org/officeDocument/2006/relationships/hyperlink" Target="mailto:=@TM1RPTROW($B$12,%22Stuart:%7D%22%20&amp;%20$E$11%20&amp;%22,,,,FALSE,C$11)" TargetMode="External"/><Relationship Id="rId3" Type="http://schemas.openxmlformats.org/officeDocument/2006/relationships/hyperlink" Target="mailto:=@TM1RPTROW($B$12,%22Stuart:%7D%22%20&amp;%20$E$11%20&amp;%22,,,,FALSE,C$11)" TargetMode="External"/><Relationship Id="rId7" Type="http://schemas.openxmlformats.org/officeDocument/2006/relationships/hyperlink" Target="mailto:=@TM1RPTROW($B$12,%22Stuart:%7D%22%20&amp;%20$E$11%20&amp;%22,,,,FALSE,C$11)" TargetMode="External"/><Relationship Id="rId12" Type="http://schemas.openxmlformats.org/officeDocument/2006/relationships/hyperlink" Target="mailto:=@TM1RPTROW($B$12,%22Stuart:%22%20&amp;%20$F$11,,,,FALSE,B$11)" TargetMode="External"/><Relationship Id="rId17" Type="http://schemas.openxmlformats.org/officeDocument/2006/relationships/drawing" Target="../drawings/drawing2.xml"/><Relationship Id="rId2" Type="http://schemas.openxmlformats.org/officeDocument/2006/relationships/hyperlink" Target="mailto:=@TM1RPTROW($B$12,%22Stuart:%22%20&amp;%20$F$11,,,,FALSE,B$11)" TargetMode="External"/><Relationship Id="rId16" Type="http://schemas.openxmlformats.org/officeDocument/2006/relationships/customProperty" Target="../customProperty3.bin"/><Relationship Id="rId1" Type="http://schemas.openxmlformats.org/officeDocument/2006/relationships/hyperlink" Target="mailto:=@TM1RPTROW($B$12,%22Stuart:%7D%22%20&amp;%20$E$11%20&amp;%22,,,,FALSE,C$11)" TargetMode="External"/><Relationship Id="rId6" Type="http://schemas.openxmlformats.org/officeDocument/2006/relationships/hyperlink" Target="mailto:=@TM1RPTROW($B$12,%22Stuart:%22%20&amp;%20$F$11,,,,FALSE,B$11)" TargetMode="External"/><Relationship Id="rId11" Type="http://schemas.openxmlformats.org/officeDocument/2006/relationships/hyperlink" Target="mailto:=@TM1RPTROW($B$12,%22Stuart:%7D%22%20&amp;%20$E$11%20&amp;%22,,,,FALSE,C$11)" TargetMode="External"/><Relationship Id="rId5" Type="http://schemas.openxmlformats.org/officeDocument/2006/relationships/hyperlink" Target="mailto:=@TM1RPTROW($B$12,%22Stuart:%7D%22%20&amp;%20$E$11%20&amp;%22,,,,FALSE,C$11)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mailto:=@TM1RPTROW($B$12,%22Stuart:%22%20&amp;%20$F$11,,,,FALSE,B$11)" TargetMode="External"/><Relationship Id="rId4" Type="http://schemas.openxmlformats.org/officeDocument/2006/relationships/hyperlink" Target="mailto:=@TM1RPTROW($B$12,%22Stuart:%22%20&amp;%20$F$11,,,,FALSE,B$11)" TargetMode="External"/><Relationship Id="rId9" Type="http://schemas.openxmlformats.org/officeDocument/2006/relationships/hyperlink" Target="mailto:=@TM1RPTROW($B$12,%22Stuart:%7D%22%20&amp;%20$E$11%20&amp;%22,,,,FALSE,C$11)" TargetMode="External"/><Relationship Id="rId14" Type="http://schemas.openxmlformats.org/officeDocument/2006/relationships/hyperlink" Target="mailto:=@TM1RPTROW($B$12,%22Stuart:%22%20&amp;%20$F$11,,,,FALSE,B$11)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F664C-CA9D-46AB-A630-0BBDF365F166}">
  <sheetPr codeName="Sheet1"/>
  <dimension ref="B1:B4"/>
  <sheetViews>
    <sheetView workbookViewId="0"/>
  </sheetViews>
  <sheetFormatPr defaultRowHeight="15" x14ac:dyDescent="0.25"/>
  <sheetData>
    <row r="1" spans="2:2" x14ac:dyDescent="0.25">
      <c r="B1" s="1" t="s">
        <v>40</v>
      </c>
    </row>
    <row r="2" spans="2:2" x14ac:dyDescent="0.25">
      <c r="B2" s="1" t="s">
        <v>37</v>
      </c>
    </row>
    <row r="3" spans="2:2" x14ac:dyDescent="0.25">
      <c r="B3" s="1" t="s">
        <v>38</v>
      </c>
    </row>
    <row r="4" spans="2:2" x14ac:dyDescent="0.25">
      <c r="B4" s="1" t="s">
        <v>39</v>
      </c>
    </row>
  </sheetData>
  <pageMargins left="0.7" right="0.7" top="0.75" bottom="0.75" header="0.3" footer="0.3"/>
  <customProperties>
    <customPr name="CafeStyleVersion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307D9-C444-4837-A637-F3145596AC87}">
  <sheetPr codeName="Sheet2"/>
  <dimension ref="B1:U28"/>
  <sheetViews>
    <sheetView showGridLines="0" topLeftCell="D10" workbookViewId="0">
      <selection activeCell="E23" sqref="E23"/>
    </sheetView>
  </sheetViews>
  <sheetFormatPr defaultColWidth="9.140625" defaultRowHeight="15" x14ac:dyDescent="0.25"/>
  <cols>
    <col min="1" max="1" width="0" style="31" hidden="1" customWidth="1"/>
    <col min="2" max="2" width="21.5703125" style="31" hidden="1" customWidth="1"/>
    <col min="3" max="3" width="11.140625" style="31" hidden="1" customWidth="1"/>
    <col min="4" max="4" width="1.5703125" style="31" customWidth="1"/>
    <col min="5" max="5" width="33.28515625" style="31" customWidth="1"/>
    <col min="6" max="6" width="30.85546875" style="31" customWidth="1"/>
    <col min="7" max="7" width="23.85546875" style="31" customWidth="1"/>
    <col min="8" max="8" width="19.28515625" style="31" customWidth="1"/>
    <col min="9" max="9" width="34.7109375" style="31" customWidth="1"/>
    <col min="10" max="10" width="19.7109375" style="31" customWidth="1"/>
    <col min="11" max="11" width="19.85546875" style="31" customWidth="1"/>
    <col min="12" max="12" width="15.85546875" style="31" bestFit="1" customWidth="1"/>
    <col min="13" max="13" width="5.42578125" style="31" bestFit="1" customWidth="1"/>
    <col min="14" max="14" width="7.85546875" style="31" bestFit="1" customWidth="1"/>
    <col min="15" max="15" width="13.42578125" style="31" bestFit="1" customWidth="1"/>
    <col min="16" max="16" width="7.42578125" style="31" bestFit="1" customWidth="1"/>
    <col min="17" max="17" width="16.85546875" style="31" bestFit="1" customWidth="1"/>
    <col min="18" max="18" width="16" style="31" bestFit="1" customWidth="1"/>
    <col min="19" max="19" width="15" style="31" bestFit="1" customWidth="1"/>
    <col min="20" max="20" width="14.42578125" style="31" bestFit="1" customWidth="1"/>
    <col min="21" max="21" width="11.42578125" style="31" bestFit="1" customWidth="1"/>
    <col min="22" max="16384" width="9.140625" style="31"/>
  </cols>
  <sheetData>
    <row r="1" spans="2:21" hidden="1" x14ac:dyDescent="0.25">
      <c r="B1" s="30" t="s">
        <v>0</v>
      </c>
    </row>
    <row r="2" spans="2:21" s="32" customFormat="1" hidden="1" thickBot="1" x14ac:dyDescent="0.3">
      <c r="B2" s="32">
        <v>0</v>
      </c>
      <c r="C2" s="33" t="s">
        <v>4</v>
      </c>
      <c r="D2" s="33"/>
      <c r="E2" s="34">
        <v>123.456789</v>
      </c>
      <c r="F2" s="34">
        <v>123.456789</v>
      </c>
      <c r="G2" s="34">
        <v>123.456789</v>
      </c>
      <c r="H2" s="34">
        <v>123.456789</v>
      </c>
      <c r="I2" s="34">
        <v>123.456789</v>
      </c>
      <c r="J2" s="34">
        <v>123.456789</v>
      </c>
      <c r="K2" s="34">
        <v>123.456789</v>
      </c>
      <c r="L2" s="34">
        <v>123.456789</v>
      </c>
      <c r="M2" s="34">
        <v>123.456789</v>
      </c>
      <c r="N2" s="34">
        <v>123.456789</v>
      </c>
      <c r="O2" s="34">
        <v>123.456789</v>
      </c>
      <c r="P2" s="34">
        <v>123.456789</v>
      </c>
      <c r="Q2" s="34">
        <v>123.456789</v>
      </c>
      <c r="R2" s="34">
        <v>123.456789</v>
      </c>
      <c r="S2" s="34">
        <v>123.456789</v>
      </c>
      <c r="T2" s="34">
        <v>123.456789</v>
      </c>
      <c r="U2" s="34">
        <v>123.456789</v>
      </c>
    </row>
    <row r="3" spans="2:21" s="35" customFormat="1" hidden="1" thickBot="1" x14ac:dyDescent="0.3">
      <c r="B3" s="35">
        <v>1</v>
      </c>
      <c r="C3" s="36" t="s">
        <v>4</v>
      </c>
      <c r="D3" s="36"/>
      <c r="E3" s="37">
        <v>123.456789</v>
      </c>
      <c r="F3" s="37">
        <v>123.456789</v>
      </c>
      <c r="G3" s="37">
        <v>123.456789</v>
      </c>
      <c r="H3" s="37">
        <v>123.456789</v>
      </c>
      <c r="I3" s="37">
        <v>123.456789</v>
      </c>
      <c r="J3" s="37">
        <v>123.456789</v>
      </c>
      <c r="K3" s="37">
        <v>123.456789</v>
      </c>
      <c r="L3" s="37">
        <v>123.456789</v>
      </c>
      <c r="M3" s="37">
        <v>123.456789</v>
      </c>
      <c r="N3" s="37">
        <v>123.456789</v>
      </c>
      <c r="O3" s="37">
        <v>123.456789</v>
      </c>
      <c r="P3" s="37">
        <v>123.456789</v>
      </c>
      <c r="Q3" s="37">
        <v>123.456789</v>
      </c>
      <c r="R3" s="37">
        <v>123.456789</v>
      </c>
      <c r="S3" s="37">
        <v>123.456789</v>
      </c>
      <c r="T3" s="37">
        <v>123.456789</v>
      </c>
      <c r="U3" s="37">
        <v>123.456789</v>
      </c>
    </row>
    <row r="4" spans="2:21" s="38" customFormat="1" hidden="1" thickBot="1" x14ac:dyDescent="0.3">
      <c r="B4" s="38">
        <v>2</v>
      </c>
      <c r="C4" s="39" t="s">
        <v>4</v>
      </c>
      <c r="D4" s="39"/>
      <c r="E4" s="40">
        <v>123.456789</v>
      </c>
      <c r="F4" s="40">
        <v>123.456789</v>
      </c>
      <c r="G4" s="40">
        <v>123.456789</v>
      </c>
      <c r="H4" s="40">
        <v>123.456789</v>
      </c>
      <c r="I4" s="40">
        <v>123.456789</v>
      </c>
      <c r="J4" s="40">
        <v>123.456789</v>
      </c>
      <c r="K4" s="40">
        <v>123.456789</v>
      </c>
      <c r="L4" s="40">
        <v>123.456789</v>
      </c>
      <c r="M4" s="40">
        <v>123.456789</v>
      </c>
      <c r="N4" s="40">
        <v>123.456789</v>
      </c>
      <c r="O4" s="40">
        <v>123.456789</v>
      </c>
      <c r="P4" s="40">
        <v>123.456789</v>
      </c>
      <c r="Q4" s="40">
        <v>123.456789</v>
      </c>
      <c r="R4" s="40">
        <v>123.456789</v>
      </c>
      <c r="S4" s="40">
        <v>123.456789</v>
      </c>
      <c r="T4" s="40">
        <v>123.456789</v>
      </c>
      <c r="U4" s="40">
        <v>123.456789</v>
      </c>
    </row>
    <row r="5" spans="2:21" s="41" customFormat="1" hidden="1" thickBot="1" x14ac:dyDescent="0.3">
      <c r="B5" s="41">
        <v>3</v>
      </c>
      <c r="C5" s="42" t="s">
        <v>4</v>
      </c>
      <c r="D5" s="42"/>
      <c r="E5" s="43">
        <v>123.456789</v>
      </c>
      <c r="F5" s="43">
        <v>123.456789</v>
      </c>
      <c r="G5" s="43">
        <v>123.456789</v>
      </c>
      <c r="H5" s="43">
        <v>123.456789</v>
      </c>
      <c r="I5" s="43">
        <v>123.456789</v>
      </c>
      <c r="J5" s="43">
        <v>123.456789</v>
      </c>
      <c r="K5" s="43">
        <v>123.456789</v>
      </c>
      <c r="L5" s="43">
        <v>123.456789</v>
      </c>
      <c r="M5" s="43">
        <v>123.456789</v>
      </c>
      <c r="N5" s="43">
        <v>123.456789</v>
      </c>
      <c r="O5" s="43">
        <v>123.456789</v>
      </c>
      <c r="P5" s="43">
        <v>123.456789</v>
      </c>
      <c r="Q5" s="43">
        <v>123.456789</v>
      </c>
      <c r="R5" s="43">
        <v>123.456789</v>
      </c>
      <c r="S5" s="43">
        <v>123.456789</v>
      </c>
      <c r="T5" s="43">
        <v>123.456789</v>
      </c>
      <c r="U5" s="43">
        <v>123.456789</v>
      </c>
    </row>
    <row r="6" spans="2:21" s="44" customFormat="1" hidden="1" thickBot="1" x14ac:dyDescent="0.3">
      <c r="B6" s="44">
        <v>4</v>
      </c>
      <c r="C6" s="45" t="s">
        <v>4</v>
      </c>
      <c r="D6" s="45"/>
      <c r="E6" s="46">
        <v>123.456789</v>
      </c>
      <c r="F6" s="46">
        <v>123.456789</v>
      </c>
      <c r="G6" s="46">
        <v>123.456789</v>
      </c>
      <c r="H6" s="46">
        <v>123.456789</v>
      </c>
      <c r="I6" s="46">
        <v>123.456789</v>
      </c>
      <c r="J6" s="46">
        <v>123.456789</v>
      </c>
      <c r="K6" s="46">
        <v>123.456789</v>
      </c>
      <c r="L6" s="46">
        <v>123.456789</v>
      </c>
      <c r="M6" s="46">
        <v>123.456789</v>
      </c>
      <c r="N6" s="46">
        <v>123.456789</v>
      </c>
      <c r="O6" s="46">
        <v>123.456789</v>
      </c>
      <c r="P6" s="46">
        <v>123.456789</v>
      </c>
      <c r="Q6" s="46">
        <v>123.456789</v>
      </c>
      <c r="R6" s="46">
        <v>123.456789</v>
      </c>
      <c r="S6" s="46">
        <v>123.456789</v>
      </c>
      <c r="T6" s="46">
        <v>123.456789</v>
      </c>
      <c r="U6" s="46">
        <v>123.456789</v>
      </c>
    </row>
    <row r="7" spans="2:21" s="47" customFormat="1" hidden="1" thickBot="1" x14ac:dyDescent="0.3">
      <c r="B7" s="47">
        <v>5</v>
      </c>
      <c r="C7" s="48" t="s">
        <v>4</v>
      </c>
      <c r="D7" s="48"/>
      <c r="E7" s="49">
        <v>123.456789</v>
      </c>
      <c r="F7" s="49">
        <v>123.456789</v>
      </c>
      <c r="G7" s="49">
        <v>123.456789</v>
      </c>
      <c r="H7" s="49">
        <v>123.456789</v>
      </c>
      <c r="I7" s="49">
        <v>123.456789</v>
      </c>
      <c r="J7" s="49">
        <v>123.456789</v>
      </c>
      <c r="K7" s="49">
        <v>123.456789</v>
      </c>
      <c r="L7" s="49">
        <v>123.456789</v>
      </c>
      <c r="M7" s="49">
        <v>123.456789</v>
      </c>
      <c r="N7" s="49">
        <v>123.456789</v>
      </c>
      <c r="O7" s="49">
        <v>123.456789</v>
      </c>
      <c r="P7" s="49">
        <v>123.456789</v>
      </c>
      <c r="Q7" s="49">
        <v>123.456789</v>
      </c>
      <c r="R7" s="49">
        <v>123.456789</v>
      </c>
      <c r="S7" s="49">
        <v>123.456789</v>
      </c>
      <c r="T7" s="49">
        <v>123.456789</v>
      </c>
      <c r="U7" s="49">
        <v>123.456789</v>
      </c>
    </row>
    <row r="8" spans="2:21" s="53" customFormat="1" hidden="1" thickBot="1" x14ac:dyDescent="0.3">
      <c r="B8" s="50" t="s">
        <v>1</v>
      </c>
      <c r="C8" s="51" t="s">
        <v>4</v>
      </c>
      <c r="D8" s="51"/>
      <c r="E8" s="52">
        <v>123.456789</v>
      </c>
      <c r="F8" s="52">
        <v>123.456789</v>
      </c>
      <c r="G8" s="52">
        <v>123.456789</v>
      </c>
      <c r="H8" s="52">
        <v>123.456789</v>
      </c>
      <c r="I8" s="52">
        <v>123.456789</v>
      </c>
      <c r="J8" s="52">
        <v>123.456789</v>
      </c>
      <c r="K8" s="52">
        <v>123.456789</v>
      </c>
      <c r="L8" s="52">
        <v>123.456789</v>
      </c>
      <c r="M8" s="52">
        <v>123.456789</v>
      </c>
      <c r="N8" s="52">
        <v>123.456789</v>
      </c>
      <c r="O8" s="52">
        <v>123.456789</v>
      </c>
      <c r="P8" s="52">
        <v>123.456789</v>
      </c>
      <c r="Q8" s="52">
        <v>123.456789</v>
      </c>
      <c r="R8" s="52">
        <v>123.456789</v>
      </c>
      <c r="S8" s="52">
        <v>123.456789</v>
      </c>
      <c r="T8" s="52">
        <v>123.456789</v>
      </c>
      <c r="U8" s="52">
        <v>123.456789</v>
      </c>
    </row>
    <row r="9" spans="2:21" s="57" customFormat="1" hidden="1" thickBot="1" x14ac:dyDescent="0.3">
      <c r="B9" s="54" t="s">
        <v>2</v>
      </c>
      <c r="C9" s="55" t="s">
        <v>4</v>
      </c>
      <c r="D9" s="55"/>
      <c r="E9" s="56">
        <v>123.456789</v>
      </c>
      <c r="F9" s="56">
        <v>123.456789</v>
      </c>
      <c r="G9" s="56">
        <v>123.456789</v>
      </c>
      <c r="H9" s="56">
        <v>123.456789</v>
      </c>
      <c r="I9" s="56">
        <v>123.456789</v>
      </c>
      <c r="J9" s="56">
        <v>123.456789</v>
      </c>
      <c r="K9" s="56">
        <v>123.456789</v>
      </c>
      <c r="L9" s="56">
        <v>123.456789</v>
      </c>
      <c r="M9" s="56">
        <v>123.456789</v>
      </c>
      <c r="N9" s="56">
        <v>123.456789</v>
      </c>
      <c r="O9" s="56">
        <v>123.456789</v>
      </c>
      <c r="P9" s="56">
        <v>123.456789</v>
      </c>
      <c r="Q9" s="56">
        <v>123.456789</v>
      </c>
      <c r="R9" s="56">
        <v>123.456789</v>
      </c>
      <c r="S9" s="56">
        <v>123.456789</v>
      </c>
      <c r="T9" s="56">
        <v>123.456789</v>
      </c>
      <c r="U9" s="56">
        <v>123.456789</v>
      </c>
    </row>
    <row r="10" spans="2:21" ht="9" customHeight="1" thickBot="1" x14ac:dyDescent="0.3">
      <c r="B10" s="30" t="s">
        <v>3</v>
      </c>
    </row>
    <row r="11" spans="2:21" ht="15.75" thickTop="1" x14ac:dyDescent="0.25">
      <c r="C11" s="64" t="s">
        <v>5</v>
      </c>
      <c r="D11" s="64"/>
      <c r="E11" s="65" t="str">
        <f>_xll.TM1PRIMARYDATASOURCE()</f>
        <v>https://us-east-1.planninganalytics.test.saas.ibm.com/?accountId=GZEC05EWS00U&amp;tenantId=MDZJLACV9OQ1</v>
      </c>
      <c r="F11" s="66"/>
      <c r="G11" s="66"/>
      <c r="H11" s="67"/>
      <c r="J11" s="68" t="s">
        <v>23</v>
      </c>
      <c r="K11" s="68" t="s">
        <v>5</v>
      </c>
    </row>
    <row r="12" spans="2:21" ht="15.75" thickBot="1" x14ac:dyDescent="0.3">
      <c r="C12" s="68" t="str">
        <f>_xll.TM1RPTVIEW("Stuart:}WF_Control:16328462",0,TM1RPTFMTRNG16328462,TM1RPTFMTIDCOL16328462)</f>
        <v>Stuart:}WF_Control:16328462</v>
      </c>
      <c r="D12" s="68"/>
      <c r="E12" s="69" t="str">
        <f>_xll.TM1PRIMARYDBNAME()</f>
        <v>Stuart</v>
      </c>
      <c r="F12" s="70"/>
      <c r="G12" s="70"/>
      <c r="H12" s="61"/>
    </row>
    <row r="13" spans="2:21" ht="15.75" thickTop="1" x14ac:dyDescent="0.25">
      <c r="C13" s="68"/>
      <c r="D13" s="68"/>
      <c r="E13" s="110"/>
      <c r="F13" s="110"/>
      <c r="G13" s="110"/>
      <c r="H13" s="110"/>
    </row>
    <row r="14" spans="2:21" ht="15.75" thickBot="1" x14ac:dyDescent="0.3">
      <c r="E14" s="112" t="s">
        <v>49</v>
      </c>
      <c r="F14" s="113"/>
      <c r="H14" s="112" t="s">
        <v>24</v>
      </c>
      <c r="I14" s="113"/>
    </row>
    <row r="15" spans="2:21" ht="15.75" thickTop="1" x14ac:dyDescent="0.25">
      <c r="E15" s="58" t="s">
        <v>43</v>
      </c>
      <c r="F15" s="78" t="s">
        <v>42</v>
      </c>
      <c r="H15" s="58" t="s">
        <v>43</v>
      </c>
      <c r="I15" s="78" t="s">
        <v>42</v>
      </c>
    </row>
    <row r="16" spans="2:21" x14ac:dyDescent="0.25">
      <c r="E16" s="59" t="s">
        <v>44</v>
      </c>
      <c r="F16" s="108" t="str">
        <f>_xll.DBRW($E$12 &amp;":}WF_Picklists", "Approval Dimension", "value")</f>
        <v/>
      </c>
      <c r="H16" s="71"/>
      <c r="I16" s="60"/>
    </row>
    <row r="17" spans="2:21" x14ac:dyDescent="0.25">
      <c r="E17" s="59" t="s">
        <v>45</v>
      </c>
      <c r="F17" s="109" t="str">
        <f>_xll.DBRW(Workflows!$E$12 &amp;":}WF_Picklists","Approval Subset", "value")</f>
        <v/>
      </c>
      <c r="H17" s="71"/>
      <c r="I17" s="60"/>
    </row>
    <row r="18" spans="2:21" x14ac:dyDescent="0.25">
      <c r="E18" s="59" t="s">
        <v>50</v>
      </c>
      <c r="F18" s="109"/>
      <c r="H18" s="71"/>
      <c r="I18" s="60"/>
    </row>
    <row r="19" spans="2:21" ht="15.75" thickBot="1" x14ac:dyDescent="0.3">
      <c r="E19" s="59" t="s">
        <v>48</v>
      </c>
      <c r="F19" s="111" t="str">
        <f>_xll.DBRW($E$12 &amp;":}WF_Picklists", "Security", "value")</f>
        <v>Cell</v>
      </c>
      <c r="H19" s="69"/>
      <c r="I19" s="61"/>
    </row>
    <row r="20" spans="2:21" ht="15.75" thickTop="1" x14ac:dyDescent="0.25">
      <c r="E20" s="59" t="s">
        <v>47</v>
      </c>
      <c r="F20" s="111" t="str">
        <f>_xll.DBRW($E$12 &amp;":}WF_Picklists", "Security Mode", "value")</f>
        <v>Client</v>
      </c>
    </row>
    <row r="21" spans="2:21" x14ac:dyDescent="0.25">
      <c r="E21" s="59" t="s">
        <v>46</v>
      </c>
      <c r="F21" s="111" t="str">
        <f>_xll.DBRW($E$12 &amp;":}WF_Picklists", "Locking", "value")</f>
        <v>All</v>
      </c>
    </row>
    <row r="22" spans="2:21" x14ac:dyDescent="0.25">
      <c r="E22" s="59" t="s">
        <v>52</v>
      </c>
      <c r="F22" s="109" t="str">
        <f>_xll.DBRW($E$12 &amp;":}WF_Picklists", "Control Dimension", "value")</f>
        <v/>
      </c>
    </row>
    <row r="23" spans="2:21" ht="18" customHeight="1" x14ac:dyDescent="0.25">
      <c r="E23" s="59" t="s">
        <v>51</v>
      </c>
      <c r="F23" s="109" t="str">
        <f>_xll.DBRW($E$12 &amp;":}WF_Picklists", "Control Member", "value")</f>
        <v/>
      </c>
    </row>
    <row r="24" spans="2:21" ht="18" customHeight="1" x14ac:dyDescent="0.25">
      <c r="E24" s="59"/>
      <c r="F24" s="77"/>
    </row>
    <row r="25" spans="2:21" ht="17.25" customHeight="1" thickBot="1" x14ac:dyDescent="0.3">
      <c r="E25" s="69"/>
      <c r="F25" s="61"/>
    </row>
    <row r="26" spans="2:21" ht="16.5" thickTop="1" thickBot="1" x14ac:dyDescent="0.3"/>
    <row r="27" spans="2:21" ht="15.75" thickBot="1" x14ac:dyDescent="0.3">
      <c r="E27" s="62" t="s">
        <v>6</v>
      </c>
      <c r="F27" s="62" t="s">
        <v>7</v>
      </c>
      <c r="G27" s="62" t="s">
        <v>8</v>
      </c>
      <c r="H27" s="62" t="s">
        <v>9</v>
      </c>
      <c r="I27" s="62" t="s">
        <v>10</v>
      </c>
      <c r="J27" s="62" t="s">
        <v>11</v>
      </c>
      <c r="K27" s="62" t="s">
        <v>12</v>
      </c>
      <c r="L27" s="62" t="s">
        <v>13</v>
      </c>
      <c r="M27" s="62" t="s">
        <v>14</v>
      </c>
      <c r="N27" s="62" t="s">
        <v>15</v>
      </c>
      <c r="O27" s="62" t="s">
        <v>16</v>
      </c>
      <c r="P27" s="62" t="s">
        <v>17</v>
      </c>
      <c r="Q27" s="62" t="s">
        <v>18</v>
      </c>
      <c r="R27" s="62" t="s">
        <v>19</v>
      </c>
      <c r="S27" s="62" t="s">
        <v>20</v>
      </c>
      <c r="T27" s="62" t="s">
        <v>21</v>
      </c>
      <c r="U27" s="62" t="s">
        <v>22</v>
      </c>
    </row>
    <row r="28" spans="2:21" s="57" customFormat="1" thickBot="1" x14ac:dyDescent="0.3">
      <c r="B28" s="54" t="e">
        <f>IF(_xll.TM1RPTELISCONSOLIDATED($C$28,$C28),IF(_xll.TM1RPTELLEV($C$28,$C28)&lt;=5,_xll.TM1RPTELLEV($C$28,$C28),"Default"),"Leaf")</f>
        <v>#REF!</v>
      </c>
      <c r="C28" s="63" t="str">
        <f>_xll.TM1RPTROW($C$12,"Stuart:}WF",,,,FALSE,C$11)</f>
        <v/>
      </c>
      <c r="D28" s="55"/>
      <c r="E28" s="56" t="e">
        <f>_xll.DBRW($C$12,$C28,E$27)</f>
        <v>#VALUE!</v>
      </c>
      <c r="F28" s="56" t="e">
        <f>_xll.DBRW($C$12,$C28,F$27)</f>
        <v>#VALUE!</v>
      </c>
      <c r="G28" s="56" t="e">
        <f>_xll.DBRW($C$12,$C28,G$27)</f>
        <v>#VALUE!</v>
      </c>
      <c r="H28" s="56" t="e">
        <f>_xll.DBRW($C$12,$C28,H$27)</f>
        <v>#VALUE!</v>
      </c>
      <c r="I28" s="56" t="e">
        <f>_xll.DBRW($C$12,$C28,I$27)</f>
        <v>#VALUE!</v>
      </c>
      <c r="J28" s="56" t="e">
        <f>_xll.DBRW($C$12,$C28,J$27)</f>
        <v>#VALUE!</v>
      </c>
      <c r="K28" s="56" t="e">
        <f>_xll.DBRW($C$12,$C28,K$27)</f>
        <v>#VALUE!</v>
      </c>
      <c r="L28" s="56" t="e">
        <f>_xll.DBRW($C$12,$C28,L$27)</f>
        <v>#VALUE!</v>
      </c>
      <c r="M28" s="56" t="e">
        <f>_xll.DBRW($C$12,$C28,M$27)</f>
        <v>#VALUE!</v>
      </c>
      <c r="N28" s="56" t="e">
        <f>_xll.DBRW($C$12,$C28,N$27)</f>
        <v>#VALUE!</v>
      </c>
      <c r="O28" s="56" t="e">
        <f>_xll.DBRW($C$12,$C28,O$27)</f>
        <v>#VALUE!</v>
      </c>
      <c r="P28" s="56" t="e">
        <f>_xll.DBRW($C$12,$C28,P$27)</f>
        <v>#VALUE!</v>
      </c>
      <c r="Q28" s="56" t="e">
        <f>_xll.DBRW($C$12,$C28,Q$27)</f>
        <v>#VALUE!</v>
      </c>
      <c r="R28" s="56" t="e">
        <f>_xll.DBRW($C$12,$C28,R$27)</f>
        <v>#VALUE!</v>
      </c>
      <c r="S28" s="56" t="e">
        <f>_xll.DBRW($C$12,$C28,S$27)</f>
        <v>#VALUE!</v>
      </c>
      <c r="T28" s="56" t="e">
        <f>_xll.DBRW($C$12,$C28,T$27)</f>
        <v>#VALUE!</v>
      </c>
      <c r="U28" s="56" t="e">
        <f>_xll.DBRW($C$12,$C28,U$27)</f>
        <v>#VALUE!</v>
      </c>
    </row>
  </sheetData>
  <mergeCells count="2">
    <mergeCell ref="E14:F14"/>
    <mergeCell ref="H14:I14"/>
  </mergeCells>
  <pageMargins left="0.7" right="0.7" top="0.75" bottom="0.75" header="0.3" footer="0.3"/>
  <customProperties>
    <customPr name="TM1Actions" r:id="rId1"/>
  </customProperti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975C1-9B53-4767-B9CC-AAA06EECE102}">
  <sheetPr codeName="Sheet3"/>
  <dimension ref="A1:H27"/>
  <sheetViews>
    <sheetView showGridLines="0" tabSelected="1" topLeftCell="B13" workbookViewId="0">
      <selection activeCell="D41" sqref="D41"/>
    </sheetView>
  </sheetViews>
  <sheetFormatPr defaultRowHeight="15" x14ac:dyDescent="0.25"/>
  <cols>
    <col min="1" max="1" width="25.5703125" hidden="1" customWidth="1"/>
    <col min="2" max="2" width="14.140625" customWidth="1"/>
    <col min="3" max="3" width="21" customWidth="1"/>
    <col min="4" max="4" width="24.5703125" customWidth="1"/>
    <col min="5" max="5" width="31.5703125" customWidth="1"/>
    <col min="6" max="6" width="30.7109375" customWidth="1"/>
    <col min="7" max="7" width="18.85546875" customWidth="1"/>
    <col min="8" max="8" width="14" customWidth="1"/>
  </cols>
  <sheetData>
    <row r="1" spans="1:8" hidden="1" x14ac:dyDescent="0.25">
      <c r="A1" s="1" t="s">
        <v>0</v>
      </c>
    </row>
    <row r="2" spans="1:8" s="2" customFormat="1" ht="14.25" hidden="1" x14ac:dyDescent="0.25">
      <c r="A2" s="2">
        <v>0</v>
      </c>
      <c r="B2" s="87" t="s">
        <v>4</v>
      </c>
      <c r="C2" s="87" t="s">
        <v>4</v>
      </c>
      <c r="D2" s="79">
        <v>123.456789</v>
      </c>
      <c r="E2" s="79">
        <v>123.456789</v>
      </c>
      <c r="F2" s="79">
        <v>123.456789</v>
      </c>
      <c r="G2" s="79">
        <v>123.456789</v>
      </c>
      <c r="H2" s="79">
        <v>123.456789</v>
      </c>
    </row>
    <row r="3" spans="1:8" s="5" customFormat="1" ht="14.25" hidden="1" x14ac:dyDescent="0.25">
      <c r="A3" s="5">
        <v>1</v>
      </c>
      <c r="B3" s="88" t="s">
        <v>4</v>
      </c>
      <c r="C3" s="88" t="s">
        <v>4</v>
      </c>
      <c r="D3" s="80">
        <v>123.456789</v>
      </c>
      <c r="E3" s="80">
        <v>123.456789</v>
      </c>
      <c r="F3" s="80">
        <v>123.456789</v>
      </c>
      <c r="G3" s="80">
        <v>123.456789</v>
      </c>
      <c r="H3" s="80">
        <v>123.456789</v>
      </c>
    </row>
    <row r="4" spans="1:8" s="8" customFormat="1" ht="14.25" hidden="1" x14ac:dyDescent="0.25">
      <c r="A4" s="8">
        <v>2</v>
      </c>
      <c r="B4" s="89" t="s">
        <v>4</v>
      </c>
      <c r="C4" s="89" t="s">
        <v>4</v>
      </c>
      <c r="D4" s="81">
        <v>123.456789</v>
      </c>
      <c r="E4" s="81">
        <v>123.456789</v>
      </c>
      <c r="F4" s="81">
        <v>123.456789</v>
      </c>
      <c r="G4" s="81">
        <v>123.456789</v>
      </c>
      <c r="H4" s="81">
        <v>123.456789</v>
      </c>
    </row>
    <row r="5" spans="1:8" s="11" customFormat="1" ht="14.25" hidden="1" x14ac:dyDescent="0.25">
      <c r="A5" s="11">
        <v>3</v>
      </c>
      <c r="B5" s="90" t="s">
        <v>4</v>
      </c>
      <c r="C5" s="90" t="s">
        <v>4</v>
      </c>
      <c r="D5" s="82">
        <v>123.456789</v>
      </c>
      <c r="E5" s="82">
        <v>123.456789</v>
      </c>
      <c r="F5" s="82">
        <v>123.456789</v>
      </c>
      <c r="G5" s="82">
        <v>123.456789</v>
      </c>
      <c r="H5" s="82">
        <v>123.456789</v>
      </c>
    </row>
    <row r="6" spans="1:8" s="14" customFormat="1" ht="14.25" hidden="1" x14ac:dyDescent="0.25">
      <c r="A6" s="14">
        <v>4</v>
      </c>
      <c r="B6" s="91" t="s">
        <v>4</v>
      </c>
      <c r="C6" s="91" t="s">
        <v>4</v>
      </c>
      <c r="D6" s="83">
        <v>123.456789</v>
      </c>
      <c r="E6" s="83">
        <v>123.456789</v>
      </c>
      <c r="F6" s="83">
        <v>123.456789</v>
      </c>
      <c r="G6" s="83">
        <v>123.456789</v>
      </c>
      <c r="H6" s="83">
        <v>123.456789</v>
      </c>
    </row>
    <row r="7" spans="1:8" s="17" customFormat="1" ht="14.25" hidden="1" x14ac:dyDescent="0.25">
      <c r="A7" s="17">
        <v>5</v>
      </c>
      <c r="B7" s="92" t="s">
        <v>4</v>
      </c>
      <c r="C7" s="92" t="s">
        <v>4</v>
      </c>
      <c r="D7" s="84">
        <v>123.456789</v>
      </c>
      <c r="E7" s="84">
        <v>123.456789</v>
      </c>
      <c r="F7" s="84">
        <v>123.456789</v>
      </c>
      <c r="G7" s="84">
        <v>123.456789</v>
      </c>
      <c r="H7" s="84">
        <v>123.456789</v>
      </c>
    </row>
    <row r="8" spans="1:8" s="21" customFormat="1" ht="14.25" hidden="1" x14ac:dyDescent="0.25">
      <c r="A8" s="20" t="s">
        <v>1</v>
      </c>
      <c r="B8" s="93" t="s">
        <v>4</v>
      </c>
      <c r="C8" s="93" t="s">
        <v>4</v>
      </c>
      <c r="D8" s="85">
        <v>123.456789</v>
      </c>
      <c r="E8" s="85">
        <v>123.456789</v>
      </c>
      <c r="F8" s="85">
        <v>123.456789</v>
      </c>
      <c r="G8" s="85">
        <v>123.456789</v>
      </c>
      <c r="H8" s="85">
        <v>123.456789</v>
      </c>
    </row>
    <row r="9" spans="1:8" s="25" customFormat="1" ht="14.25" hidden="1" x14ac:dyDescent="0.25">
      <c r="A9" s="24" t="s">
        <v>2</v>
      </c>
      <c r="B9" s="94" t="s">
        <v>4</v>
      </c>
      <c r="C9" s="94" t="s">
        <v>4</v>
      </c>
      <c r="D9" s="86">
        <v>123.456789</v>
      </c>
      <c r="E9" s="86">
        <v>123.456789</v>
      </c>
      <c r="F9" s="86">
        <v>123.456789</v>
      </c>
      <c r="G9" s="86">
        <v>123.456789</v>
      </c>
      <c r="H9" s="86">
        <v>123.456789</v>
      </c>
    </row>
    <row r="10" spans="1:8" hidden="1" x14ac:dyDescent="0.25">
      <c r="A10" s="1" t="s">
        <v>3</v>
      </c>
    </row>
    <row r="11" spans="1:8" hidden="1" x14ac:dyDescent="0.25">
      <c r="B11" s="1" t="s">
        <v>35</v>
      </c>
      <c r="C11" s="1" t="e">
        <f>"{TM1SUBSETALL([}" &amp; $E$11 &amp; "s].[}" &amp; $E$11 &amp; "s])}"</f>
        <v>#NUM!</v>
      </c>
      <c r="E11" t="e">
        <f>_xll.DBRW(Workflows!$E$12 &amp;":}WF_Control",$C$15, "Security Mode")</f>
        <v>#NUM!</v>
      </c>
      <c r="F11" t="e">
        <f>_xll.DBRW(Workflows!$E$12 &amp;":}WF_Control",$C$15, "Dimension")</f>
        <v>#NUM!</v>
      </c>
      <c r="G11" t="e">
        <f>_xll.DBRW(Workflows!$E$12 &amp;":}WF_Control",$C$15, "Subset")</f>
        <v>#NUM!</v>
      </c>
    </row>
    <row r="12" spans="1:8" hidden="1" x14ac:dyDescent="0.25">
      <c r="B12" t="str">
        <f>_xll.TM1RPTVIEW("Stuart:}WF_" &amp; $C$15 &amp; "_State:35193292",1,TM1RPTFMTRNG35193292,TM1RPTFMTIDCOL35193292)</f>
        <v>Stuart:}WF_Forecast_State:35193292</v>
      </c>
    </row>
    <row r="13" spans="1:8" ht="15.75" thickBot="1" x14ac:dyDescent="0.3"/>
    <row r="14" spans="1:8" ht="15.75" thickTop="1" x14ac:dyDescent="0.25">
      <c r="C14" s="105" t="s">
        <v>30</v>
      </c>
      <c r="D14" s="106" t="s">
        <v>36</v>
      </c>
      <c r="E14" s="106" t="e">
        <f>"Contributor " &amp; E11</f>
        <v>#NUM!</v>
      </c>
      <c r="F14" s="107" t="e">
        <f>"Reviewer " &amp; E11</f>
        <v>#NUM!</v>
      </c>
    </row>
    <row r="15" spans="1:8" x14ac:dyDescent="0.25">
      <c r="C15" s="104" t="str">
        <f>_xll.SUBNM("Stuart:}WF","Default","Forecast")</f>
        <v>Forecast</v>
      </c>
      <c r="D15" s="114" t="e">
        <f>_xll.SUBNM("Stuart:" &amp; $F$11, $G$11,"North America")</f>
        <v>#VALUE!</v>
      </c>
      <c r="E15" s="114" t="e">
        <f>_xll.SUBNM("Stuart:}" &amp; $E$11 &amp; "s","WF","phillite@us.ibm.com")</f>
        <v>#VALUE!</v>
      </c>
      <c r="F15" s="115" t="e">
        <f>_xll.SUBNM("Stuart:}" &amp; $E$11 &amp; "s","WF","stuart.stephen.king@gmail.com")</f>
        <v>#VALUE!</v>
      </c>
    </row>
    <row r="16" spans="1:8" x14ac:dyDescent="0.25">
      <c r="C16" s="72"/>
      <c r="F16" s="73"/>
    </row>
    <row r="17" spans="1:8" ht="15.75" thickBot="1" x14ac:dyDescent="0.3">
      <c r="C17" s="74"/>
      <c r="D17" s="75"/>
      <c r="E17" s="75"/>
      <c r="F17" s="76"/>
    </row>
    <row r="18" spans="1:8" ht="15.75" thickTop="1" x14ac:dyDescent="0.25"/>
    <row r="20" spans="1:8" ht="15.75" x14ac:dyDescent="0.25">
      <c r="B20" s="97" t="s">
        <v>36</v>
      </c>
      <c r="C20" s="97" t="e">
        <f>E11</f>
        <v>#NUM!</v>
      </c>
      <c r="D20" s="98" t="s">
        <v>25</v>
      </c>
      <c r="E20" s="98" t="s">
        <v>26</v>
      </c>
      <c r="F20" s="98" t="s">
        <v>14</v>
      </c>
      <c r="G20" s="98" t="s">
        <v>27</v>
      </c>
      <c r="H20" s="98" t="s">
        <v>28</v>
      </c>
    </row>
    <row r="21" spans="1:8" s="25" customFormat="1" ht="14.25" x14ac:dyDescent="0.25">
      <c r="A21" s="24" t="e">
        <f ca="1">IF(_xll.TM1RPTELISCONSOLIDATED($C$21,$C21),IF(_xll.TM1RPTELLEV($C$21,$C21)&lt;=5,_xll.TM1RPTELLEV($C$21,$C21),"Default"),"Leaf")</f>
        <v>#VALUE!</v>
      </c>
      <c r="B21" s="95" t="e">
        <f>_xll.TM1RPTROW($B$12,"Stuart:" &amp; $F$11,,,,FALSE,B$11)</f>
        <v>#VALUE!</v>
      </c>
      <c r="C21" s="96" t="e">
        <f>_xll.TM1RPTROW($B$12,"Stuart:}" &amp; $E$11 &amp;"s",,,,FALSE,C$11)</f>
        <v>#VALUE!</v>
      </c>
      <c r="D21" s="86" t="e">
        <f>_xll.DBRW($B$12,$B21,$C21,D$20)</f>
        <v>#VALUE!</v>
      </c>
      <c r="E21" s="86" t="e">
        <f>_xll.DBRW($B$12,$B21,$C21,E$20)</f>
        <v>#VALUE!</v>
      </c>
      <c r="F21" s="86" t="e">
        <f>_xll.DBRW($B$12,$B21,$C21,F$20)</f>
        <v>#VALUE!</v>
      </c>
      <c r="G21" s="86" t="e">
        <f>_xll.DBRW($B$12,$B21,$C21,G$20)</f>
        <v>#VALUE!</v>
      </c>
      <c r="H21" s="86" t="e">
        <f>_xll.DBRW($B$12,$B21,$C21,H$20)</f>
        <v>#VALUE!</v>
      </c>
    </row>
    <row r="22" spans="1:8" s="25" customFormat="1" ht="14.25" x14ac:dyDescent="0.25">
      <c r="A22" s="24" t="e">
        <f ca="1">IF(_xll.TM1RPTELISCONSOLIDATED($C$21,$C22),IF(_xll.TM1RPTELLEV($C$21,$C22)&lt;=5,_xll.TM1RPTELLEV($C$21,$C22),"Default"),"Leaf")</f>
        <v>#VALUE!</v>
      </c>
      <c r="B22" s="99" t="s">
        <v>41</v>
      </c>
      <c r="C22" s="103" t="s">
        <v>41</v>
      </c>
      <c r="D22" s="86" t="e">
        <f ca="1">_xll.DBRW($B$12,$B22,$C22,D$20)</f>
        <v>#VALUE!</v>
      </c>
      <c r="E22" s="86" t="e">
        <f ca="1">_xll.DBRW($B$12,$B22,$C22,E$20)</f>
        <v>#VALUE!</v>
      </c>
      <c r="F22" s="86" t="e">
        <f ca="1">_xll.DBRW($B$12,$B22,$C22,F$20)</f>
        <v>#VALUE!</v>
      </c>
      <c r="G22" s="86" t="e">
        <f ca="1">_xll.DBRW($B$12,$B22,$C22,G$20)</f>
        <v>#VALUE!</v>
      </c>
      <c r="H22" s="86" t="e">
        <f ca="1">_xll.DBRW($B$12,$B22,$C22,H$20)</f>
        <v>#VALUE!</v>
      </c>
    </row>
    <row r="23" spans="1:8" s="25" customFormat="1" ht="14.25" x14ac:dyDescent="0.25">
      <c r="A23" s="24" t="e">
        <f ca="1">IF(_xll.TM1RPTELISCONSOLIDATED($C$21,$C23),IF(_xll.TM1RPTELLEV($C$21,$C23)&lt;=5,_xll.TM1RPTELLEV($C$21,$C23),"Default"),"Leaf")</f>
        <v>#VALUE!</v>
      </c>
      <c r="B23" s="100" t="s">
        <v>41</v>
      </c>
      <c r="C23" s="103" t="s">
        <v>41</v>
      </c>
      <c r="D23" s="86" t="e">
        <f ca="1">_xll.DBRW($B$12,$B23,$C23,D$20)</f>
        <v>#VALUE!</v>
      </c>
      <c r="E23" s="86" t="e">
        <f ca="1">_xll.DBRW($B$12,$B23,$C23,E$20)</f>
        <v>#VALUE!</v>
      </c>
      <c r="F23" s="86" t="e">
        <f ca="1">_xll.DBRW($B$12,$B23,$C23,F$20)</f>
        <v>#VALUE!</v>
      </c>
      <c r="G23" s="86" t="e">
        <f ca="1">_xll.DBRW($B$12,$B23,$C23,G$20)</f>
        <v>#VALUE!</v>
      </c>
      <c r="H23" s="86" t="e">
        <f ca="1">_xll.DBRW($B$12,$B23,$C23,H$20)</f>
        <v>#VALUE!</v>
      </c>
    </row>
    <row r="24" spans="1:8" s="25" customFormat="1" ht="14.25" x14ac:dyDescent="0.25">
      <c r="A24" s="24" t="e">
        <f ca="1">IF(_xll.TM1RPTELISCONSOLIDATED($C$21,$C24),IF(_xll.TM1RPTELLEV($C$21,$C24)&lt;=5,_xll.TM1RPTELLEV($C$21,$C24),"Default"),"Leaf")</f>
        <v>#VALUE!</v>
      </c>
      <c r="B24" s="100" t="s">
        <v>41</v>
      </c>
      <c r="C24" s="103" t="s">
        <v>41</v>
      </c>
      <c r="D24" s="86" t="e">
        <f ca="1">_xll.DBRW($B$12,$B24,$C24,D$20)</f>
        <v>#VALUE!</v>
      </c>
      <c r="E24" s="86" t="e">
        <f ca="1">_xll.DBRW($B$12,$B24,$C24,E$20)</f>
        <v>#VALUE!</v>
      </c>
      <c r="F24" s="86" t="e">
        <f ca="1">_xll.DBRW($B$12,$B24,$C24,F$20)</f>
        <v>#VALUE!</v>
      </c>
      <c r="G24" s="86" t="e">
        <f ca="1">_xll.DBRW($B$12,$B24,$C24,G$20)</f>
        <v>#VALUE!</v>
      </c>
      <c r="H24" s="86" t="e">
        <f ca="1">_xll.DBRW($B$12,$B24,$C24,H$20)</f>
        <v>#VALUE!</v>
      </c>
    </row>
    <row r="25" spans="1:8" s="25" customFormat="1" ht="14.25" x14ac:dyDescent="0.25">
      <c r="A25" s="24" t="e">
        <f ca="1">IF(_xll.TM1RPTELISCONSOLIDATED($C$21,$C25),IF(_xll.TM1RPTELLEV($C$21,$C25)&lt;=5,_xll.TM1RPTELLEV($C$21,$C25),"Default"),"Leaf")</f>
        <v>#VALUE!</v>
      </c>
      <c r="B25" s="101" t="s">
        <v>41</v>
      </c>
      <c r="C25" s="103" t="s">
        <v>41</v>
      </c>
      <c r="D25" s="86" t="e">
        <f ca="1">_xll.DBRW($B$12,$B25,$C25,D$20)</f>
        <v>#VALUE!</v>
      </c>
      <c r="E25" s="86" t="e">
        <f ca="1">_xll.DBRW($B$12,$B25,$C25,E$20)</f>
        <v>#VALUE!</v>
      </c>
      <c r="F25" s="86" t="e">
        <f ca="1">_xll.DBRW($B$12,$B25,$C25,F$20)</f>
        <v>#VALUE!</v>
      </c>
      <c r="G25" s="86" t="e">
        <f ca="1">_xll.DBRW($B$12,$B25,$C25,G$20)</f>
        <v>#VALUE!</v>
      </c>
      <c r="H25" s="86" t="e">
        <f ca="1">_xll.DBRW($B$12,$B25,$C25,H$20)</f>
        <v>#VALUE!</v>
      </c>
    </row>
    <row r="26" spans="1:8" s="25" customFormat="1" ht="14.25" x14ac:dyDescent="0.25">
      <c r="A26" s="24" t="e">
        <f ca="1">IF(_xll.TM1RPTELISCONSOLIDATED($C$21,$C26),IF(_xll.TM1RPTELLEV($C$21,$C26)&lt;=5,_xll.TM1RPTELLEV($C$21,$C26),"Default"),"Leaf")</f>
        <v>#VALUE!</v>
      </c>
      <c r="B26" s="102" t="s">
        <v>41</v>
      </c>
      <c r="C26" s="103" t="s">
        <v>41</v>
      </c>
      <c r="D26" s="86" t="e">
        <f ca="1">_xll.DBRW($B$12,$B26,$C26,D$20)</f>
        <v>#VALUE!</v>
      </c>
      <c r="E26" s="86" t="e">
        <f ca="1">_xll.DBRW($B$12,$B26,$C26,E$20)</f>
        <v>#VALUE!</v>
      </c>
      <c r="F26" s="86" t="e">
        <f ca="1">_xll.DBRW($B$12,$B26,$C26,F$20)</f>
        <v>#VALUE!</v>
      </c>
      <c r="G26" s="86" t="e">
        <f ca="1">_xll.DBRW($B$12,$B26,$C26,G$20)</f>
        <v>#VALUE!</v>
      </c>
      <c r="H26" s="86" t="e">
        <f ca="1">_xll.DBRW($B$12,$B26,$C26,H$20)</f>
        <v>#VALUE!</v>
      </c>
    </row>
    <row r="27" spans="1:8" s="25" customFormat="1" ht="14.25" x14ac:dyDescent="0.25">
      <c r="A27" s="24" t="e">
        <f ca="1">IF(_xll.TM1RPTELISCONSOLIDATED($C$21,$C27),IF(_xll.TM1RPTELLEV($C$21,$C27)&lt;=5,_xll.TM1RPTELLEV($C$21,$C27),"Default"),"Leaf")</f>
        <v>#VALUE!</v>
      </c>
      <c r="B27" s="102" t="s">
        <v>41</v>
      </c>
      <c r="C27" s="103" t="s">
        <v>41</v>
      </c>
      <c r="D27" s="86" t="e">
        <f ca="1">_xll.DBRW($B$12,$B27,$C27,D$20)</f>
        <v>#VALUE!</v>
      </c>
      <c r="E27" s="86" t="e">
        <f ca="1">_xll.DBRW($B$12,$B27,$C27,E$20)</f>
        <v>#VALUE!</v>
      </c>
      <c r="F27" s="86" t="e">
        <f ca="1">_xll.DBRW($B$12,$B27,$C27,F$20)</f>
        <v>#VALUE!</v>
      </c>
      <c r="G27" s="86" t="e">
        <f ca="1">_xll.DBRW($B$12,$B27,$C27,G$20)</f>
        <v>#VALUE!</v>
      </c>
      <c r="H27" s="86" t="e">
        <f ca="1">_xll.DBRW($B$12,$B27,$C27,H$20)</f>
        <v>#VALUE!</v>
      </c>
    </row>
  </sheetData>
  <hyperlinks>
    <hyperlink ref="C21" r:id="rId1" display="=@TM1RPTROW($B$12,&quot;Stuart:}&quot; &amp; $E$11 &amp;&quot;,,,,FALSE,C$11)" xr:uid="{12FF638F-B235-4EB0-AFBD-A60925BA940C}"/>
    <hyperlink ref="B21" r:id="rId2" display="=@TM1RPTROW($B$12,&quot;Stuart:&quot; &amp; $F$11,,,,FALSE,B$11)" xr:uid="{0E8D679F-86B1-4866-8383-CCDF6F7A14F2}"/>
    <hyperlink ref="C26" r:id="rId3" display="=@TM1RPTROW($B$12,&quot;Stuart:}&quot; &amp; $E$11 &amp;&quot;,,,,FALSE,C$11)" xr:uid="{6E5CA155-9C1E-48A0-A069-FBCC678A4ED6}"/>
    <hyperlink ref="B26" r:id="rId4" display="=@TM1RPTROW($B$12,&quot;Stuart:&quot; &amp; $F$11,,,,FALSE,B$11)" xr:uid="{68472DE6-366C-48B0-BB8D-7568B7298183}"/>
    <hyperlink ref="C27" r:id="rId5" display="=@TM1RPTROW($B$12,&quot;Stuart:}&quot; &amp; $E$11 &amp;&quot;,,,,FALSE,C$11)" xr:uid="{BEC5211D-22C5-4477-93C0-AC49A9790A2B}"/>
    <hyperlink ref="B27" r:id="rId6" display="=@TM1RPTROW($B$12,&quot;Stuart:&quot; &amp; $F$11,,,,FALSE,B$11)" xr:uid="{952D0F42-7586-413A-8877-6AA7C5D2C0D2}"/>
    <hyperlink ref="C22" r:id="rId7" display="=@TM1RPTROW($B$12,&quot;Stuart:}&quot; &amp; $E$11 &amp;&quot;,,,,FALSE,C$11)" xr:uid="{39FA50B6-9BCE-430F-A941-1A0A0BBC1A97}"/>
    <hyperlink ref="B22" r:id="rId8" display="=@TM1RPTROW($B$12,&quot;Stuart:&quot; &amp; $F$11,,,,FALSE,B$11)" xr:uid="{6242A166-D8CF-47A1-BFD9-8FDBDB24F98F}"/>
    <hyperlink ref="C23" r:id="rId9" display="=@TM1RPTROW($B$12,&quot;Stuart:}&quot; &amp; $E$11 &amp;&quot;,,,,FALSE,C$11)" xr:uid="{ABE8AA38-6D18-4B47-A21C-EF989F2AB1C4}"/>
    <hyperlink ref="B23" r:id="rId10" display="=@TM1RPTROW($B$12,&quot;Stuart:&quot; &amp; $F$11,,,,FALSE,B$11)" xr:uid="{89986966-5EFD-4BD1-B54F-21023921B0B9}"/>
    <hyperlink ref="C24" r:id="rId11" display="=@TM1RPTROW($B$12,&quot;Stuart:}&quot; &amp; $E$11 &amp;&quot;,,,,FALSE,C$11)" xr:uid="{B007D446-9E57-4D83-9990-1EB905C19D9F}"/>
    <hyperlink ref="B24" r:id="rId12" display="=@TM1RPTROW($B$12,&quot;Stuart:&quot; &amp; $F$11,,,,FALSE,B$11)" xr:uid="{8BFD8A4D-5DB8-4117-8C5F-C174DCC712AB}"/>
    <hyperlink ref="C25" r:id="rId13" display="=@TM1RPTROW($B$12,&quot;Stuart:}&quot; &amp; $E$11 &amp;&quot;,,,,FALSE,C$11)" xr:uid="{012ADE39-9223-44E3-8163-957F9022A554}"/>
    <hyperlink ref="B25" r:id="rId14" display="=@TM1RPTROW($B$12,&quot;Stuart:&quot; &amp; $F$11,,,,FALSE,B$11)" xr:uid="{6B2703D6-C996-4DF2-9E32-9E91062A7950}"/>
  </hyperlinks>
  <pageMargins left="0.7" right="0.7" top="0.75" bottom="0.75" header="0.3" footer="0.3"/>
  <pageSetup orientation="portrait" r:id="rId15"/>
  <customProperties>
    <customPr name="TM1Actions" r:id="rId16"/>
  </customProperties>
  <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9DDC3-9E59-445A-81EC-4684EB303277}">
  <sheetPr codeName="Sheet5"/>
  <dimension ref="A1:G17"/>
  <sheetViews>
    <sheetView showGridLines="0" topLeftCell="B13" workbookViewId="0">
      <selection activeCell="D35" sqref="D35"/>
    </sheetView>
  </sheetViews>
  <sheetFormatPr defaultRowHeight="15" x14ac:dyDescent="0.25"/>
  <cols>
    <col min="1" max="1" width="25.7109375" hidden="1" customWidth="1"/>
    <col min="2" max="2" width="7.140625" customWidth="1"/>
    <col min="3" max="3" width="16.5703125" customWidth="1"/>
    <col min="4" max="4" width="29" customWidth="1"/>
    <col min="5" max="5" width="34.7109375" customWidth="1"/>
    <col min="6" max="6" width="23.140625" customWidth="1"/>
    <col min="7" max="7" width="30.42578125" customWidth="1"/>
  </cols>
  <sheetData>
    <row r="1" spans="1:7" hidden="1" x14ac:dyDescent="0.25">
      <c r="A1" s="1" t="s">
        <v>0</v>
      </c>
    </row>
    <row r="2" spans="1:7" s="2" customFormat="1" hidden="1" thickBot="1" x14ac:dyDescent="0.3">
      <c r="A2" s="2">
        <v>0</v>
      </c>
      <c r="B2" s="3" t="s">
        <v>4</v>
      </c>
      <c r="C2" s="4">
        <v>123.456789</v>
      </c>
      <c r="D2" s="4">
        <v>123.456789</v>
      </c>
      <c r="E2" s="4">
        <v>123.456789</v>
      </c>
      <c r="F2" s="4">
        <v>123.456789</v>
      </c>
      <c r="G2" s="4">
        <v>123.456789</v>
      </c>
    </row>
    <row r="3" spans="1:7" s="5" customFormat="1" hidden="1" thickBot="1" x14ac:dyDescent="0.3">
      <c r="A3" s="5">
        <v>1</v>
      </c>
      <c r="B3" s="6" t="s">
        <v>4</v>
      </c>
      <c r="C3" s="7">
        <v>123.456789</v>
      </c>
      <c r="D3" s="7">
        <v>123.456789</v>
      </c>
      <c r="E3" s="7">
        <v>123.456789</v>
      </c>
      <c r="F3" s="7">
        <v>123.456789</v>
      </c>
      <c r="G3" s="7">
        <v>123.456789</v>
      </c>
    </row>
    <row r="4" spans="1:7" s="8" customFormat="1" hidden="1" thickBot="1" x14ac:dyDescent="0.3">
      <c r="A4" s="8">
        <v>2</v>
      </c>
      <c r="B4" s="9" t="s">
        <v>4</v>
      </c>
      <c r="C4" s="10">
        <v>123.456789</v>
      </c>
      <c r="D4" s="10">
        <v>123.456789</v>
      </c>
      <c r="E4" s="10">
        <v>123.456789</v>
      </c>
      <c r="F4" s="10">
        <v>123.456789</v>
      </c>
      <c r="G4" s="10">
        <v>123.456789</v>
      </c>
    </row>
    <row r="5" spans="1:7" s="11" customFormat="1" hidden="1" thickBot="1" x14ac:dyDescent="0.3">
      <c r="A5" s="11">
        <v>3</v>
      </c>
      <c r="B5" s="12" t="s">
        <v>4</v>
      </c>
      <c r="C5" s="13">
        <v>123.456789</v>
      </c>
      <c r="D5" s="13">
        <v>123.456789</v>
      </c>
      <c r="E5" s="13">
        <v>123.456789</v>
      </c>
      <c r="F5" s="13">
        <v>123.456789</v>
      </c>
      <c r="G5" s="13">
        <v>123.456789</v>
      </c>
    </row>
    <row r="6" spans="1:7" s="14" customFormat="1" hidden="1" thickBot="1" x14ac:dyDescent="0.3">
      <c r="A6" s="14">
        <v>4</v>
      </c>
      <c r="B6" s="15" t="s">
        <v>4</v>
      </c>
      <c r="C6" s="16">
        <v>123.456789</v>
      </c>
      <c r="D6" s="16">
        <v>123.456789</v>
      </c>
      <c r="E6" s="16">
        <v>123.456789</v>
      </c>
      <c r="F6" s="16">
        <v>123.456789</v>
      </c>
      <c r="G6" s="16">
        <v>123.456789</v>
      </c>
    </row>
    <row r="7" spans="1:7" s="17" customFormat="1" hidden="1" thickBot="1" x14ac:dyDescent="0.3">
      <c r="A7" s="17">
        <v>5</v>
      </c>
      <c r="B7" s="18" t="s">
        <v>4</v>
      </c>
      <c r="C7" s="19">
        <v>123.456789</v>
      </c>
      <c r="D7" s="19">
        <v>123.456789</v>
      </c>
      <c r="E7" s="19">
        <v>123.456789</v>
      </c>
      <c r="F7" s="19">
        <v>123.456789</v>
      </c>
      <c r="G7" s="19">
        <v>123.456789</v>
      </c>
    </row>
    <row r="8" spans="1:7" s="21" customFormat="1" hidden="1" thickBot="1" x14ac:dyDescent="0.3">
      <c r="A8" s="20" t="s">
        <v>1</v>
      </c>
      <c r="B8" s="22" t="s">
        <v>4</v>
      </c>
      <c r="C8" s="23">
        <v>123.456789</v>
      </c>
      <c r="D8" s="23">
        <v>123.456789</v>
      </c>
      <c r="E8" s="23">
        <v>123.456789</v>
      </c>
      <c r="F8" s="23">
        <v>123.456789</v>
      </c>
      <c r="G8" s="23">
        <v>123.456789</v>
      </c>
    </row>
    <row r="9" spans="1:7" s="25" customFormat="1" hidden="1" thickBot="1" x14ac:dyDescent="0.3">
      <c r="A9" s="24" t="s">
        <v>2</v>
      </c>
      <c r="B9" s="26" t="s">
        <v>4</v>
      </c>
      <c r="C9" s="27">
        <v>123.456789</v>
      </c>
      <c r="D9" s="27">
        <v>123.456789</v>
      </c>
      <c r="E9" s="27">
        <v>123.456789</v>
      </c>
      <c r="F9" s="27">
        <v>123.456789</v>
      </c>
      <c r="G9" s="27">
        <v>123.456789</v>
      </c>
    </row>
    <row r="10" spans="1:7" hidden="1" x14ac:dyDescent="0.25">
      <c r="A10" s="1" t="s">
        <v>3</v>
      </c>
    </row>
    <row r="11" spans="1:7" hidden="1" x14ac:dyDescent="0.25">
      <c r="B11" s="1" t="s">
        <v>29</v>
      </c>
    </row>
    <row r="12" spans="1:7" hidden="1" x14ac:dyDescent="0.25">
      <c r="B12" t="str">
        <f>_xll.TM1RPTVIEW("Stuart:}WF_Errors:1523228",0,TM1RPTFMTRNG1523228,TM1RPTFMTIDCOL1523228)</f>
        <v>Stuart:}WF_Errors:1523228</v>
      </c>
    </row>
    <row r="15" spans="1:7" ht="15.75" thickBot="1" x14ac:dyDescent="0.3"/>
    <row r="16" spans="1:7" ht="15.75" thickBot="1" x14ac:dyDescent="0.3">
      <c r="C16" s="28" t="s">
        <v>30</v>
      </c>
      <c r="D16" s="28" t="s">
        <v>31</v>
      </c>
      <c r="E16" s="28" t="s">
        <v>32</v>
      </c>
      <c r="F16" s="28" t="s">
        <v>33</v>
      </c>
      <c r="G16" s="28" t="s">
        <v>34</v>
      </c>
    </row>
    <row r="17" spans="1:7" s="25" customFormat="1" thickBot="1" x14ac:dyDescent="0.3">
      <c r="A17" s="24" t="str">
        <f>IF(_xll.TM1RPTELISCONSOLIDATED($B$17,$B17),IF(_xll.TM1RPTELLEV($B$17,$B17)&lt;=5,_xll.TM1RPTELLEV($B$17,$B17),"Default"),"Leaf")</f>
        <v>Leaf</v>
      </c>
      <c r="B17" s="29" t="str">
        <f>_xll.TM1RPTROW($B$12,"Stuart:}WF_Error_Lines",,,,FALSE,B$11)</f>
        <v>1</v>
      </c>
      <c r="C17" s="27" t="str">
        <f>_xll.DBRW($B$12,$B17,C$16)</f>
        <v/>
      </c>
      <c r="D17" s="27" t="str">
        <f>_xll.DBRW($B$12,$B17,D$16)</f>
        <v/>
      </c>
      <c r="E17" s="27" t="str">
        <f>_xll.DBRW($B$12,$B17,E$16)</f>
        <v/>
      </c>
      <c r="F17" s="27" t="str">
        <f>_xll.DBRW($B$12,$B17,F$16)</f>
        <v/>
      </c>
      <c r="G17" s="27" t="str">
        <f>_xll.DBRW($B$12,$B17,G$16)</f>
        <v/>
      </c>
    </row>
  </sheetData>
  <pageMargins left="0.7" right="0.7" top="0.75" bottom="0.75" header="0.3" footer="0.3"/>
  <customProperties>
    <customPr name="TM1Actions" r:id="rId1"/>
  </customPropertie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Workflows</vt:lpstr>
      <vt:lpstr>Assignments</vt:lpstr>
      <vt:lpstr>Errors</vt:lpstr>
      <vt:lpstr>Errors!TM1RPTDATARNG1523228</vt:lpstr>
      <vt:lpstr>Workflows!TM1RPTDATARNG16328462</vt:lpstr>
      <vt:lpstr>Assignments!TM1RPTDATARNG35193292</vt:lpstr>
      <vt:lpstr>Errors!TM1RPTFMTIDCOL1523228</vt:lpstr>
      <vt:lpstr>Workflows!TM1RPTFMTIDCOL16328462</vt:lpstr>
      <vt:lpstr>Assignments!TM1RPTFMTIDCOL35193292</vt:lpstr>
      <vt:lpstr>Errors!TM1RPTFMTRNG1523228</vt:lpstr>
      <vt:lpstr>Workflows!TM1RPTFMTRNG16328462</vt:lpstr>
      <vt:lpstr>Assignments!TM1RPTFMTRNG35193292</vt:lpstr>
      <vt:lpstr>Errors!TM1RPTQRYRNG1523228</vt:lpstr>
      <vt:lpstr>Workflows!TM1RPTQRYRNG16328462</vt:lpstr>
      <vt:lpstr>Assignments!TM1RPTQRYRNG35193292</vt:lpstr>
      <vt:lpstr>Errors!TM1RPTVIEWRNG1523228</vt:lpstr>
      <vt:lpstr>Workflows!TM1RPTVIEWRNG16328462</vt:lpstr>
      <vt:lpstr>Assignments!TM1RPTVIEWRNG35193292</vt:lpstr>
      <vt:lpstr>Assignments!tm2\\_tracked</vt:lpstr>
      <vt:lpstr>Workflows!tm2\\_tracked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king</dc:creator>
  <cp:lastModifiedBy>stuart king</cp:lastModifiedBy>
  <dcterms:created xsi:type="dcterms:W3CDTF">2024-07-23T21:00:57Z</dcterms:created>
  <dcterms:modified xsi:type="dcterms:W3CDTF">2024-07-31T03:12:14Z</dcterms:modified>
</cp:coreProperties>
</file>